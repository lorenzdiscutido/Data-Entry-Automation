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iteboard Data" sheetId="1" state="visible" r:id="rId1"/>
    <sheet name="Reference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BFBFBF"/>
        <bgColor rgb="00BFBFBF"/>
      </patternFill>
    </fill>
    <fill>
      <patternFill patternType="solid">
        <fgColor rgb="002F5597"/>
        <b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1333500" cy="2381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12</row>
      <rowOff>0</rowOff>
    </from>
    <ext cx="1333500" cy="1905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20</row>
      <rowOff>0</rowOff>
    </from>
    <ext cx="1333500" cy="1905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28</row>
      <rowOff>0</rowOff>
    </from>
    <ext cx="1333500" cy="1905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36</row>
      <rowOff>0</rowOff>
    </from>
    <ext cx="1333500" cy="1905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44</row>
      <rowOff>0</rowOff>
    </from>
    <ext cx="1333500" cy="1905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52</row>
      <rowOff>0</rowOff>
    </from>
    <ext cx="1333500" cy="1905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60</row>
      <rowOff>0</rowOff>
    </from>
    <ext cx="1333500" cy="1905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68</row>
      <rowOff>0</rowOff>
    </from>
    <ext cx="1333500" cy="1905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76</row>
      <rowOff>0</rowOff>
    </from>
    <ext cx="1333500" cy="1905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84</row>
      <rowOff>0</rowOff>
    </from>
    <ext cx="1333500" cy="1905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92</row>
      <rowOff>0</rowOff>
    </from>
    <ext cx="1333500" cy="1905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100</row>
      <rowOff>0</rowOff>
    </from>
    <ext cx="1333500" cy="1905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108</row>
      <rowOff>0</rowOff>
    </from>
    <ext cx="1333500" cy="1905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116</row>
      <rowOff>0</rowOff>
    </from>
    <ext cx="1333500" cy="1905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124</row>
      <rowOff>0</rowOff>
    </from>
    <ext cx="1333500" cy="2143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25" customWidth="1" min="9" max="9"/>
    <col width="24" customWidth="1" min="10" max="10"/>
    <col width="30" customWidth="1" min="11" max="11"/>
    <col width="28" customWidth="1" min="12" max="12"/>
    <col width="22" customWidth="1" min="13" max="13"/>
  </cols>
  <sheetData>
    <row r="1">
      <c r="A1" s="1" t="inlineStr">
        <is>
          <t>Submitter</t>
        </is>
      </c>
      <c r="B1" s="1" t="inlineStr">
        <is>
          <t>Date</t>
        </is>
      </c>
      <c r="C1" s="1" t="inlineStr">
        <is>
          <t>Elevation</t>
        </is>
      </c>
      <c r="D1" s="1" t="inlineStr">
        <is>
          <t>Drop</t>
        </is>
      </c>
      <c r="E1" s="1" t="inlineStr">
        <is>
          <t>Floor</t>
        </is>
      </c>
      <c r="F1" s="1" t="inlineStr">
        <is>
          <t>Tower</t>
        </is>
      </c>
      <c r="G1" s="1" t="inlineStr">
        <is>
          <t>Defects</t>
        </is>
      </c>
      <c r="I1" s="1" t="inlineStr">
        <is>
          <t>Whiteboard Photo</t>
        </is>
      </c>
      <c r="J1" s="1" t="inlineStr">
        <is>
          <t>POSSIBLE CAUSE</t>
        </is>
      </c>
      <c r="K1" s="1" t="inlineStr">
        <is>
          <t>Possible Cause Justification</t>
        </is>
      </c>
      <c r="L1" s="1" t="inlineStr">
        <is>
          <t>Recommended Repair</t>
        </is>
      </c>
      <c r="M1" s="2" t="inlineStr">
        <is>
          <t>FINDINGS</t>
        </is>
      </c>
    </row>
    <row r="2">
      <c r="G2" s="1" t="inlineStr">
        <is>
          <t>Damage</t>
        </is>
      </c>
      <c r="H2" s="1" t="inlineStr">
        <is>
          <t>Dimension</t>
        </is>
      </c>
    </row>
    <row r="3" ht="20" customHeight="1">
      <c r="A3" s="3" t="inlineStr">
        <is>
          <t>RUFINO ZUÑIGA JR</t>
        </is>
      </c>
      <c r="B3" s="3" t="inlineStr">
        <is>
          <t>JULY 21, 2026</t>
        </is>
      </c>
      <c r="C3" s="3" t="inlineStr">
        <is>
          <t>BACK</t>
        </is>
      </c>
      <c r="D3" s="3" t="inlineStr">
        <is>
          <t>4</t>
        </is>
      </c>
      <c r="E3" s="3" t="inlineStr">
        <is>
          <t>2</t>
        </is>
      </c>
      <c r="F3" s="3" t="inlineStr">
        <is>
          <t>Tower 1</t>
        </is>
      </c>
      <c r="G3" s="1" t="inlineStr">
        <is>
          <t>Sealant</t>
        </is>
      </c>
      <c r="I3" s="3" t="n"/>
      <c r="J3" s="3" t="n"/>
      <c r="K3" s="3" t="n"/>
      <c r="L3" s="3" t="n"/>
      <c r="M3" s="3" t="n"/>
    </row>
    <row r="4" ht="20" customHeight="1">
      <c r="G4" s="3" t="inlineStr">
        <is>
          <t>DS C-C</t>
        </is>
      </c>
      <c r="H4" s="3" t="inlineStr">
        <is>
          <t>520 CM</t>
        </is>
      </c>
      <c r="J4" s="3">
        <f>IFERROR(VLOOKUP(LEFT($G4, FIND(" ", $G4&amp;" ") - 1), 'Reference Data'!$A$2:$E$14, 3, FALSE), "")</f>
        <v/>
      </c>
      <c r="K4" s="3">
        <f>IFERROR(VLOOKUP(LEFT($G4, FIND(" ", $G4&amp;" ") - 1), 'Reference Data'!$A$2:$E$14, 4, FALSE), "")</f>
        <v/>
      </c>
      <c r="L4" s="3">
        <f>IFERROR(VLOOKUP(LEFT($G4, FIND(" ", $G4&amp;" ") - 1), 'Reference Data'!$A$2:$E$14, 5, FALSE), "")</f>
        <v/>
      </c>
      <c r="M4" s="3">
        <f>IFERROR(VLOOKUP(LEFT($G4, FIND(" ", $G4&amp;" ") - 1), 'Reference Data'!$A$2:$E$14, 2, FALSE), "")</f>
        <v/>
      </c>
    </row>
    <row r="5" ht="20" customHeight="1">
      <c r="G5" s="1" t="inlineStr">
        <is>
          <t>Concrete</t>
        </is>
      </c>
      <c r="J5" s="3" t="n"/>
      <c r="K5" s="3" t="n"/>
      <c r="L5" s="3" t="n"/>
      <c r="M5" s="3" t="n"/>
    </row>
    <row r="6" ht="20" customHeight="1">
      <c r="G6" s="3" t="inlineStr">
        <is>
          <t>C+</t>
        </is>
      </c>
      <c r="H6" s="3" t="inlineStr">
        <is>
          <t>640 CM²</t>
        </is>
      </c>
      <c r="J6" s="3">
        <f>IFERROR(VLOOKUP(LEFT($G6, FIND(" ", $G6&amp;" ") - 1), 'Reference Data'!$A$2:$E$14, 3, FALSE), "")</f>
        <v/>
      </c>
      <c r="K6" s="3">
        <f>IFERROR(VLOOKUP(LEFT($G6, FIND(" ", $G6&amp;" ") - 1), 'Reference Data'!$A$2:$E$14, 4, FALSE), "")</f>
        <v/>
      </c>
      <c r="L6" s="3">
        <f>IFERROR(VLOOKUP(LEFT($G6, FIND(" ", $G6&amp;" ") - 1), 'Reference Data'!$A$2:$E$14, 5, FALSE), "")</f>
        <v/>
      </c>
      <c r="M6" s="3">
        <f>IFERROR(VLOOKUP(LEFT($G6, FIND(" ", $G6&amp;" ") - 1), 'Reference Data'!$A$2:$E$14, 2, FALSE), "")</f>
        <v/>
      </c>
    </row>
    <row r="7" ht="20" customHeight="1">
      <c r="G7" s="3" t="inlineStr">
        <is>
          <t>C-</t>
        </is>
      </c>
      <c r="H7" s="3" t="inlineStr">
        <is>
          <t>640 CM²</t>
        </is>
      </c>
      <c r="J7" s="3">
        <f>IFERROR(VLOOKUP(LEFT($G7, FIND(" ", $G7&amp;" ") - 1), 'Reference Data'!$A$2:$E$14, 3, FALSE), "")</f>
        <v/>
      </c>
      <c r="K7" s="3">
        <f>IFERROR(VLOOKUP(LEFT($G7, FIND(" ", $G7&amp;" ") - 1), 'Reference Data'!$A$2:$E$14, 4, FALSE), "")</f>
        <v/>
      </c>
      <c r="L7" s="3">
        <f>IFERROR(VLOOKUP(LEFT($G7, FIND(" ", $G7&amp;" ") - 1), 'Reference Data'!$A$2:$E$14, 5, FALSE), "")</f>
        <v/>
      </c>
      <c r="M7" s="3">
        <f>IFERROR(VLOOKUP(LEFT($G7, FIND(" ", $G7&amp;" ") - 1), 'Reference Data'!$A$2:$E$14, 2, FALSE), "")</f>
        <v/>
      </c>
    </row>
    <row r="8" ht="20" customHeight="1">
      <c r="G8" s="1" t="inlineStr">
        <is>
          <t>Paint</t>
        </is>
      </c>
      <c r="J8" s="3" t="n"/>
      <c r="K8" s="3" t="n"/>
      <c r="L8" s="3" t="n"/>
      <c r="M8" s="3" t="n"/>
    </row>
    <row r="9" ht="20" customHeight="1">
      <c r="G9" s="3" t="inlineStr">
        <is>
          <t>BP</t>
        </is>
      </c>
      <c r="H9" s="3" t="inlineStr">
        <is>
          <t>540 CM²</t>
        </is>
      </c>
      <c r="J9" s="3">
        <f>IFERROR(VLOOKUP(LEFT($G9, FIND(" ", $G9&amp;" ") - 1), 'Reference Data'!$A$2:$E$14, 3, FALSE), "")</f>
        <v/>
      </c>
      <c r="K9" s="3">
        <f>IFERROR(VLOOKUP(LEFT($G9, FIND(" ", $G9&amp;" ") - 1), 'Reference Data'!$A$2:$E$14, 4, FALSE), "")</f>
        <v/>
      </c>
      <c r="L9" s="3">
        <f>IFERROR(VLOOKUP(LEFT($G9, FIND(" ", $G9&amp;" ") - 1), 'Reference Data'!$A$2:$E$14, 5, FALSE), "")</f>
        <v/>
      </c>
      <c r="M9" s="3">
        <f>IFERROR(VLOOKUP(LEFT($G9, FIND(" ", $G9&amp;" ") - 1), 'Reference Data'!$A$2:$E$14, 2, FALSE), "")</f>
        <v/>
      </c>
    </row>
    <row r="10" ht="20" customHeight="1">
      <c r="G10" s="3" t="inlineStr">
        <is>
          <t>DP</t>
        </is>
      </c>
      <c r="H10" s="3" t="inlineStr">
        <is>
          <t>540 CM²</t>
        </is>
      </c>
      <c r="J10" s="3">
        <f>IFERROR(VLOOKUP(LEFT($G10, FIND(" ", $G10&amp;" ") - 1), 'Reference Data'!$A$2:$E$14, 3, FALSE), "")</f>
        <v/>
      </c>
      <c r="K10" s="3">
        <f>IFERROR(VLOOKUP(LEFT($G10, FIND(" ", $G10&amp;" ") - 1), 'Reference Data'!$A$2:$E$14, 4, FALSE), "")</f>
        <v/>
      </c>
      <c r="L10" s="3">
        <f>IFERROR(VLOOKUP(LEFT($G10, FIND(" ", $G10&amp;" ") - 1), 'Reference Data'!$A$2:$E$14, 5, FALSE), "")</f>
        <v/>
      </c>
      <c r="M10" s="3">
        <f>IFERROR(VLOOKUP(LEFT($G10, FIND(" ", $G10&amp;" ") - 1), 'Reference Data'!$A$2:$E$14, 2, FALSE), "")</f>
        <v/>
      </c>
    </row>
    <row r="11" ht="20" customHeight="1">
      <c r="G11" s="1" t="inlineStr">
        <is>
          <t>Gasket</t>
        </is>
      </c>
      <c r="J11" s="3" t="n"/>
      <c r="K11" s="3" t="n"/>
      <c r="L11" s="3" t="n"/>
      <c r="M11" s="3" t="n"/>
    </row>
    <row r="12" ht="20" customHeight="1">
      <c r="G12" s="3" t="inlineStr"/>
      <c r="H12" s="3" t="inlineStr"/>
      <c r="J12" s="3">
        <f>IFERROR(VLOOKUP(LEFT($G12, FIND(" ", $G12&amp;" ") - 1), 'Reference Data'!$A$2:$E$14, 3, FALSE), "")</f>
        <v/>
      </c>
      <c r="K12" s="3">
        <f>IFERROR(VLOOKUP(LEFT($G12, FIND(" ", $G12&amp;" ") - 1), 'Reference Data'!$A$2:$E$14, 4, FALSE), "")</f>
        <v/>
      </c>
      <c r="L12" s="3">
        <f>IFERROR(VLOOKUP(LEFT($G12, FIND(" ", $G12&amp;" ") - 1), 'Reference Data'!$A$2:$E$14, 5, FALSE), "")</f>
        <v/>
      </c>
      <c r="M12" s="3">
        <f>IFERROR(VLOOKUP(LEFT($G12, FIND(" ", $G12&amp;" ") - 1), 'Reference Data'!$A$2:$E$14, 2, FALSE), "")</f>
        <v/>
      </c>
    </row>
    <row r="13" ht="20" customHeight="1">
      <c r="A13" s="3" t="inlineStr">
        <is>
          <t>RUFINO ZUÑIGA JR</t>
        </is>
      </c>
      <c r="B13" s="3" t="inlineStr">
        <is>
          <t>JULY 27, 2026</t>
        </is>
      </c>
      <c r="C13" s="3" t="inlineStr">
        <is>
          <t>BACK</t>
        </is>
      </c>
      <c r="D13" s="3" t="inlineStr">
        <is>
          <t>8</t>
        </is>
      </c>
      <c r="E13" s="3" t="inlineStr">
        <is>
          <t>7</t>
        </is>
      </c>
      <c r="F13" s="3" t="inlineStr">
        <is>
          <t>TOWER 2</t>
        </is>
      </c>
      <c r="G13" s="1" t="inlineStr">
        <is>
          <t>Sealant</t>
        </is>
      </c>
      <c r="I13" s="3" t="n"/>
      <c r="J13" s="3" t="n"/>
      <c r="K13" s="3" t="n"/>
      <c r="L13" s="3" t="n"/>
      <c r="M13" s="3" t="n"/>
    </row>
    <row r="14" ht="20" customHeight="1">
      <c r="G14" s="3" t="inlineStr">
        <is>
          <t>DS C-C</t>
        </is>
      </c>
      <c r="H14" s="3" t="inlineStr">
        <is>
          <t>320 CM</t>
        </is>
      </c>
      <c r="J14" s="3">
        <f>IFERROR(VLOOKUP(LEFT($G14, FIND(" ", $G14&amp;" ") - 1), 'Reference Data'!$A$2:$E$14, 3, FALSE), "")</f>
        <v/>
      </c>
      <c r="K14" s="3">
        <f>IFERROR(VLOOKUP(LEFT($G14, FIND(" ", $G14&amp;" ") - 1), 'Reference Data'!$A$2:$E$14, 4, FALSE), "")</f>
        <v/>
      </c>
      <c r="L14" s="3">
        <f>IFERROR(VLOOKUP(LEFT($G14, FIND(" ", $G14&amp;" ") - 1), 'Reference Data'!$A$2:$E$14, 5, FALSE), "")</f>
        <v/>
      </c>
      <c r="M14" s="3">
        <f>IFERROR(VLOOKUP(LEFT($G14, FIND(" ", $G14&amp;" ") - 1), 'Reference Data'!$A$2:$E$14, 2, FALSE), "")</f>
        <v/>
      </c>
    </row>
    <row r="15" ht="20" customHeight="1">
      <c r="G15" s="1" t="inlineStr">
        <is>
          <t>Concrete</t>
        </is>
      </c>
      <c r="J15" s="3" t="n"/>
      <c r="K15" s="3" t="n"/>
      <c r="L15" s="3" t="n"/>
      <c r="M15" s="3" t="n"/>
    </row>
    <row r="16" ht="20" customHeight="1">
      <c r="G16" s="3" t="inlineStr"/>
      <c r="H16" s="3" t="inlineStr"/>
      <c r="J16" s="3">
        <f>IFERROR(VLOOKUP(LEFT($G16, FIND(" ", $G16&amp;" ") - 1), 'Reference Data'!$A$2:$E$14, 3, FALSE), "")</f>
        <v/>
      </c>
      <c r="K16" s="3">
        <f>IFERROR(VLOOKUP(LEFT($G16, FIND(" ", $G16&amp;" ") - 1), 'Reference Data'!$A$2:$E$14, 4, FALSE), "")</f>
        <v/>
      </c>
      <c r="L16" s="3">
        <f>IFERROR(VLOOKUP(LEFT($G16, FIND(" ", $G16&amp;" ") - 1), 'Reference Data'!$A$2:$E$14, 5, FALSE), "")</f>
        <v/>
      </c>
      <c r="M16" s="3">
        <f>IFERROR(VLOOKUP(LEFT($G16, FIND(" ", $G16&amp;" ") - 1), 'Reference Data'!$A$2:$E$14, 2, FALSE), "")</f>
        <v/>
      </c>
    </row>
    <row r="17" ht="20" customHeight="1">
      <c r="G17" s="1" t="inlineStr">
        <is>
          <t>Paint</t>
        </is>
      </c>
      <c r="J17" s="3" t="n"/>
      <c r="K17" s="3" t="n"/>
      <c r="L17" s="3" t="n"/>
      <c r="M17" s="3" t="n"/>
    </row>
    <row r="18" ht="20" customHeight="1">
      <c r="G18" s="3" t="inlineStr"/>
      <c r="H18" s="3" t="inlineStr"/>
      <c r="J18" s="3">
        <f>IFERROR(VLOOKUP(LEFT($G18, FIND(" ", $G18&amp;" ") - 1), 'Reference Data'!$A$2:$E$14, 3, FALSE), "")</f>
        <v/>
      </c>
      <c r="K18" s="3">
        <f>IFERROR(VLOOKUP(LEFT($G18, FIND(" ", $G18&amp;" ") - 1), 'Reference Data'!$A$2:$E$14, 4, FALSE), "")</f>
        <v/>
      </c>
      <c r="L18" s="3">
        <f>IFERROR(VLOOKUP(LEFT($G18, FIND(" ", $G18&amp;" ") - 1), 'Reference Data'!$A$2:$E$14, 5, FALSE), "")</f>
        <v/>
      </c>
      <c r="M18" s="3">
        <f>IFERROR(VLOOKUP(LEFT($G18, FIND(" ", $G18&amp;" ") - 1), 'Reference Data'!$A$2:$E$14, 2, FALSE), "")</f>
        <v/>
      </c>
    </row>
    <row r="19" ht="20" customHeight="1">
      <c r="G19" s="1" t="inlineStr">
        <is>
          <t>Gasket</t>
        </is>
      </c>
      <c r="J19" s="3" t="n"/>
      <c r="K19" s="3" t="n"/>
      <c r="L19" s="3" t="n"/>
      <c r="M19" s="3" t="n"/>
    </row>
    <row r="20" ht="20" customHeight="1">
      <c r="G20" s="3" t="inlineStr"/>
      <c r="H20" s="3" t="inlineStr"/>
      <c r="J20" s="3">
        <f>IFERROR(VLOOKUP(LEFT($G20, FIND(" ", $G20&amp;" ") - 1), 'Reference Data'!$A$2:$E$14, 3, FALSE), "")</f>
        <v/>
      </c>
      <c r="K20" s="3">
        <f>IFERROR(VLOOKUP(LEFT($G20, FIND(" ", $G20&amp;" ") - 1), 'Reference Data'!$A$2:$E$14, 4, FALSE), "")</f>
        <v/>
      </c>
      <c r="L20" s="3">
        <f>IFERROR(VLOOKUP(LEFT($G20, FIND(" ", $G20&amp;" ") - 1), 'Reference Data'!$A$2:$E$14, 5, FALSE), "")</f>
        <v/>
      </c>
      <c r="M20" s="3">
        <f>IFERROR(VLOOKUP(LEFT($G20, FIND(" ", $G20&amp;" ") - 1), 'Reference Data'!$A$2:$E$14, 2, FALSE), "")</f>
        <v/>
      </c>
    </row>
    <row r="21" ht="20" customHeight="1">
      <c r="A21" s="3" t="inlineStr">
        <is>
          <t>RUFINO ZUÑIGA JR</t>
        </is>
      </c>
      <c r="B21" s="3" t="inlineStr">
        <is>
          <t>JULY 27, 2026</t>
        </is>
      </c>
      <c r="C21" s="3" t="inlineStr">
        <is>
          <t>BACK</t>
        </is>
      </c>
      <c r="D21" s="3" t="inlineStr">
        <is>
          <t>8</t>
        </is>
      </c>
      <c r="E21" s="3" t="inlineStr">
        <is>
          <t>2</t>
        </is>
      </c>
      <c r="F21" s="3" t="inlineStr">
        <is>
          <t>TOWER 2</t>
        </is>
      </c>
      <c r="G21" s="1" t="inlineStr">
        <is>
          <t>Sealant</t>
        </is>
      </c>
      <c r="I21" s="3" t="n"/>
      <c r="J21" s="3" t="n"/>
      <c r="K21" s="3" t="n"/>
      <c r="L21" s="3" t="n"/>
      <c r="M21" s="3" t="n"/>
    </row>
    <row r="22" ht="20" customHeight="1">
      <c r="G22" s="3" t="inlineStr">
        <is>
          <t>DS CC</t>
        </is>
      </c>
      <c r="H22" s="3" t="inlineStr">
        <is>
          <t>320 CM</t>
        </is>
      </c>
      <c r="J22" s="3">
        <f>IFERROR(VLOOKUP(LEFT($G22, FIND(" ", $G22&amp;" ") - 1), 'Reference Data'!$A$2:$E$14, 3, FALSE), "")</f>
        <v/>
      </c>
      <c r="K22" s="3">
        <f>IFERROR(VLOOKUP(LEFT($G22, FIND(" ", $G22&amp;" ") - 1), 'Reference Data'!$A$2:$E$14, 4, FALSE), "")</f>
        <v/>
      </c>
      <c r="L22" s="3">
        <f>IFERROR(VLOOKUP(LEFT($G22, FIND(" ", $G22&amp;" ") - 1), 'Reference Data'!$A$2:$E$14, 5, FALSE), "")</f>
        <v/>
      </c>
      <c r="M22" s="3">
        <f>IFERROR(VLOOKUP(LEFT($G22, FIND(" ", $G22&amp;" ") - 1), 'Reference Data'!$A$2:$E$14, 2, FALSE), "")</f>
        <v/>
      </c>
    </row>
    <row r="23" ht="20" customHeight="1">
      <c r="G23" s="1" t="inlineStr">
        <is>
          <t>Concrete</t>
        </is>
      </c>
      <c r="J23" s="3" t="n"/>
      <c r="K23" s="3" t="n"/>
      <c r="L23" s="3" t="n"/>
      <c r="M23" s="3" t="n"/>
    </row>
    <row r="24" ht="20" customHeight="1">
      <c r="G24" s="3" t="inlineStr">
        <is>
          <t>C+</t>
        </is>
      </c>
      <c r="H24" s="3" t="inlineStr">
        <is>
          <t>10 CM²</t>
        </is>
      </c>
      <c r="J24" s="3">
        <f>IFERROR(VLOOKUP(LEFT($G24, FIND(" ", $G24&amp;" ") - 1), 'Reference Data'!$A$2:$E$14, 3, FALSE), "")</f>
        <v/>
      </c>
      <c r="K24" s="3">
        <f>IFERROR(VLOOKUP(LEFT($G24, FIND(" ", $G24&amp;" ") - 1), 'Reference Data'!$A$2:$E$14, 4, FALSE), "")</f>
        <v/>
      </c>
      <c r="L24" s="3">
        <f>IFERROR(VLOOKUP(LEFT($G24, FIND(" ", $G24&amp;" ") - 1), 'Reference Data'!$A$2:$E$14, 5, FALSE), "")</f>
        <v/>
      </c>
      <c r="M24" s="3">
        <f>IFERROR(VLOOKUP(LEFT($G24, FIND(" ", $G24&amp;" ") - 1), 'Reference Data'!$A$2:$E$14, 2, FALSE), "")</f>
        <v/>
      </c>
    </row>
    <row r="25" ht="20" customHeight="1">
      <c r="G25" s="1" t="inlineStr">
        <is>
          <t>Paint</t>
        </is>
      </c>
      <c r="J25" s="3" t="n"/>
      <c r="K25" s="3" t="n"/>
      <c r="L25" s="3" t="n"/>
      <c r="M25" s="3" t="n"/>
    </row>
    <row r="26" ht="20" customHeight="1">
      <c r="G26" s="3" t="inlineStr"/>
      <c r="H26" s="3" t="inlineStr"/>
      <c r="J26" s="3">
        <f>IFERROR(VLOOKUP(LEFT($G26, FIND(" ", $G26&amp;" ") - 1), 'Reference Data'!$A$2:$E$14, 3, FALSE), "")</f>
        <v/>
      </c>
      <c r="K26" s="3">
        <f>IFERROR(VLOOKUP(LEFT($G26, FIND(" ", $G26&amp;" ") - 1), 'Reference Data'!$A$2:$E$14, 4, FALSE), "")</f>
        <v/>
      </c>
      <c r="L26" s="3">
        <f>IFERROR(VLOOKUP(LEFT($G26, FIND(" ", $G26&amp;" ") - 1), 'Reference Data'!$A$2:$E$14, 5, FALSE), "")</f>
        <v/>
      </c>
      <c r="M26" s="3">
        <f>IFERROR(VLOOKUP(LEFT($G26, FIND(" ", $G26&amp;" ") - 1), 'Reference Data'!$A$2:$E$14, 2, FALSE), "")</f>
        <v/>
      </c>
    </row>
    <row r="27" ht="20" customHeight="1">
      <c r="G27" s="1" t="inlineStr">
        <is>
          <t>Gasket</t>
        </is>
      </c>
      <c r="J27" s="3" t="n"/>
      <c r="K27" s="3" t="n"/>
      <c r="L27" s="3" t="n"/>
      <c r="M27" s="3" t="n"/>
    </row>
    <row r="28" ht="20" customHeight="1">
      <c r="G28" s="3" t="inlineStr"/>
      <c r="H28" s="3" t="inlineStr"/>
      <c r="J28" s="3">
        <f>IFERROR(VLOOKUP(LEFT($G28, FIND(" ", $G28&amp;" ") - 1), 'Reference Data'!$A$2:$E$14, 3, FALSE), "")</f>
        <v/>
      </c>
      <c r="K28" s="3">
        <f>IFERROR(VLOOKUP(LEFT($G28, FIND(" ", $G28&amp;" ") - 1), 'Reference Data'!$A$2:$E$14, 4, FALSE), "")</f>
        <v/>
      </c>
      <c r="L28" s="3">
        <f>IFERROR(VLOOKUP(LEFT($G28, FIND(" ", $G28&amp;" ") - 1), 'Reference Data'!$A$2:$E$14, 5, FALSE), "")</f>
        <v/>
      </c>
      <c r="M28" s="3">
        <f>IFERROR(VLOOKUP(LEFT($G28, FIND(" ", $G28&amp;" ") - 1), 'Reference Data'!$A$2:$E$14, 2, FALSE), "")</f>
        <v/>
      </c>
    </row>
    <row r="29" ht="20" customHeight="1">
      <c r="A29" s="3" t="inlineStr">
        <is>
          <t>RUFINO ZUÑIGA JR</t>
        </is>
      </c>
      <c r="B29" s="3" t="inlineStr">
        <is>
          <t>JULY 27, 2026</t>
        </is>
      </c>
      <c r="C29" s="3" t="inlineStr">
        <is>
          <t>BACK</t>
        </is>
      </c>
      <c r="D29" s="3" t="inlineStr">
        <is>
          <t>8</t>
        </is>
      </c>
      <c r="E29" s="3" t="inlineStr">
        <is>
          <t>15</t>
        </is>
      </c>
      <c r="F29" s="3" t="inlineStr">
        <is>
          <t>TOWER 2</t>
        </is>
      </c>
      <c r="G29" s="1" t="inlineStr">
        <is>
          <t>Sealant</t>
        </is>
      </c>
      <c r="I29" s="3" t="n"/>
      <c r="J29" s="3" t="n"/>
      <c r="K29" s="3" t="n"/>
      <c r="L29" s="3" t="n"/>
      <c r="M29" s="3" t="n"/>
    </row>
    <row r="30" ht="20" customHeight="1">
      <c r="G30" s="3" t="inlineStr">
        <is>
          <t>DS C-C</t>
        </is>
      </c>
      <c r="H30" s="3" t="inlineStr">
        <is>
          <t>320 CM</t>
        </is>
      </c>
      <c r="J30" s="3">
        <f>IFERROR(VLOOKUP(LEFT($G30, FIND(" ", $G30&amp;" ") - 1), 'Reference Data'!$A$2:$E$14, 3, FALSE), "")</f>
        <v/>
      </c>
      <c r="K30" s="3">
        <f>IFERROR(VLOOKUP(LEFT($G30, FIND(" ", $G30&amp;" ") - 1), 'Reference Data'!$A$2:$E$14, 4, FALSE), "")</f>
        <v/>
      </c>
      <c r="L30" s="3">
        <f>IFERROR(VLOOKUP(LEFT($G30, FIND(" ", $G30&amp;" ") - 1), 'Reference Data'!$A$2:$E$14, 5, FALSE), "")</f>
        <v/>
      </c>
      <c r="M30" s="3">
        <f>IFERROR(VLOOKUP(LEFT($G30, FIND(" ", $G30&amp;" ") - 1), 'Reference Data'!$A$2:$E$14, 2, FALSE), "")</f>
        <v/>
      </c>
    </row>
    <row r="31" ht="20" customHeight="1">
      <c r="G31" s="1" t="inlineStr">
        <is>
          <t>Concrete</t>
        </is>
      </c>
      <c r="J31" s="3" t="n"/>
      <c r="K31" s="3" t="n"/>
      <c r="L31" s="3" t="n"/>
      <c r="M31" s="3" t="n"/>
    </row>
    <row r="32" ht="20" customHeight="1">
      <c r="G32" s="3" t="inlineStr"/>
      <c r="H32" s="3" t="inlineStr"/>
      <c r="J32" s="3">
        <f>IFERROR(VLOOKUP(LEFT($G32, FIND(" ", $G32&amp;" ") - 1), 'Reference Data'!$A$2:$E$14, 3, FALSE), "")</f>
        <v/>
      </c>
      <c r="K32" s="3">
        <f>IFERROR(VLOOKUP(LEFT($G32, FIND(" ", $G32&amp;" ") - 1), 'Reference Data'!$A$2:$E$14, 4, FALSE), "")</f>
        <v/>
      </c>
      <c r="L32" s="3">
        <f>IFERROR(VLOOKUP(LEFT($G32, FIND(" ", $G32&amp;" ") - 1), 'Reference Data'!$A$2:$E$14, 5, FALSE), "")</f>
        <v/>
      </c>
      <c r="M32" s="3">
        <f>IFERROR(VLOOKUP(LEFT($G32, FIND(" ", $G32&amp;" ") - 1), 'Reference Data'!$A$2:$E$14, 2, FALSE), "")</f>
        <v/>
      </c>
    </row>
    <row r="33" ht="20" customHeight="1">
      <c r="G33" s="1" t="inlineStr">
        <is>
          <t>Paint</t>
        </is>
      </c>
      <c r="J33" s="3" t="n"/>
      <c r="K33" s="3" t="n"/>
      <c r="L33" s="3" t="n"/>
      <c r="M33" s="3" t="n"/>
    </row>
    <row r="34" ht="20" customHeight="1">
      <c r="G34" s="3" t="inlineStr">
        <is>
          <t>DP</t>
        </is>
      </c>
      <c r="H34" s="3" t="inlineStr">
        <is>
          <t>320 CM²</t>
        </is>
      </c>
      <c r="J34" s="3">
        <f>IFERROR(VLOOKUP(LEFT($G34, FIND(" ", $G34&amp;" ") - 1), 'Reference Data'!$A$2:$E$14, 3, FALSE), "")</f>
        <v/>
      </c>
      <c r="K34" s="3">
        <f>IFERROR(VLOOKUP(LEFT($G34, FIND(" ", $G34&amp;" ") - 1), 'Reference Data'!$A$2:$E$14, 4, FALSE), "")</f>
        <v/>
      </c>
      <c r="L34" s="3">
        <f>IFERROR(VLOOKUP(LEFT($G34, FIND(" ", $G34&amp;" ") - 1), 'Reference Data'!$A$2:$E$14, 5, FALSE), "")</f>
        <v/>
      </c>
      <c r="M34" s="3">
        <f>IFERROR(VLOOKUP(LEFT($G34, FIND(" ", $G34&amp;" ") - 1), 'Reference Data'!$A$2:$E$14, 2, FALSE), "")</f>
        <v/>
      </c>
    </row>
    <row r="35" ht="20" customHeight="1">
      <c r="G35" s="1" t="inlineStr">
        <is>
          <t>Gasket</t>
        </is>
      </c>
      <c r="J35" s="3" t="n"/>
      <c r="K35" s="3" t="n"/>
      <c r="L35" s="3" t="n"/>
      <c r="M35" s="3" t="n"/>
    </row>
    <row r="36" ht="20" customHeight="1">
      <c r="G36" s="3" t="inlineStr"/>
      <c r="H36" s="3" t="inlineStr"/>
      <c r="J36" s="3">
        <f>IFERROR(VLOOKUP(LEFT($G36, FIND(" ", $G36&amp;" ") - 1), 'Reference Data'!$A$2:$E$14, 3, FALSE), "")</f>
        <v/>
      </c>
      <c r="K36" s="3">
        <f>IFERROR(VLOOKUP(LEFT($G36, FIND(" ", $G36&amp;" ") - 1), 'Reference Data'!$A$2:$E$14, 4, FALSE), "")</f>
        <v/>
      </c>
      <c r="L36" s="3">
        <f>IFERROR(VLOOKUP(LEFT($G36, FIND(" ", $G36&amp;" ") - 1), 'Reference Data'!$A$2:$E$14, 5, FALSE), "")</f>
        <v/>
      </c>
      <c r="M36" s="3">
        <f>IFERROR(VLOOKUP(LEFT($G36, FIND(" ", $G36&amp;" ") - 1), 'Reference Data'!$A$2:$E$14, 2, FALSE), "")</f>
        <v/>
      </c>
    </row>
    <row r="37" ht="20" customHeight="1">
      <c r="A37" s="3" t="inlineStr">
        <is>
          <t>RUFINO ZUÑIGA JR</t>
        </is>
      </c>
      <c r="B37" s="3" t="inlineStr">
        <is>
          <t>JULY 27, 2026</t>
        </is>
      </c>
      <c r="C37" s="3" t="inlineStr">
        <is>
          <t>BACK</t>
        </is>
      </c>
      <c r="D37" s="3" t="inlineStr">
        <is>
          <t>8</t>
        </is>
      </c>
      <c r="E37" s="3" t="inlineStr">
        <is>
          <t>14</t>
        </is>
      </c>
      <c r="F37" s="3" t="inlineStr">
        <is>
          <t>T2</t>
        </is>
      </c>
      <c r="G37" s="1" t="inlineStr">
        <is>
          <t>Sealant</t>
        </is>
      </c>
      <c r="I37" s="3" t="n"/>
      <c r="J37" s="3" t="n"/>
      <c r="K37" s="3" t="n"/>
      <c r="L37" s="3" t="n"/>
      <c r="M37" s="3" t="n"/>
    </row>
    <row r="38" ht="20" customHeight="1">
      <c r="G38" s="3" t="inlineStr">
        <is>
          <t>DS C-C</t>
        </is>
      </c>
      <c r="H38" s="3" t="inlineStr">
        <is>
          <t>320 CM</t>
        </is>
      </c>
      <c r="J38" s="3">
        <f>IFERROR(VLOOKUP(LEFT($G38, FIND(" ", $G38&amp;" ") - 1), 'Reference Data'!$A$2:$E$14, 3, FALSE), "")</f>
        <v/>
      </c>
      <c r="K38" s="3">
        <f>IFERROR(VLOOKUP(LEFT($G38, FIND(" ", $G38&amp;" ") - 1), 'Reference Data'!$A$2:$E$14, 4, FALSE), "")</f>
        <v/>
      </c>
      <c r="L38" s="3">
        <f>IFERROR(VLOOKUP(LEFT($G38, FIND(" ", $G38&amp;" ") - 1), 'Reference Data'!$A$2:$E$14, 5, FALSE), "")</f>
        <v/>
      </c>
      <c r="M38" s="3">
        <f>IFERROR(VLOOKUP(LEFT($G38, FIND(" ", $G38&amp;" ") - 1), 'Reference Data'!$A$2:$E$14, 2, FALSE), "")</f>
        <v/>
      </c>
    </row>
    <row r="39" ht="20" customHeight="1">
      <c r="G39" s="1" t="inlineStr">
        <is>
          <t>Concrete</t>
        </is>
      </c>
      <c r="J39" s="3" t="n"/>
      <c r="K39" s="3" t="n"/>
      <c r="L39" s="3" t="n"/>
      <c r="M39" s="3" t="n"/>
    </row>
    <row r="40" ht="20" customHeight="1">
      <c r="G40" s="3" t="inlineStr"/>
      <c r="H40" s="3" t="inlineStr"/>
      <c r="J40" s="3">
        <f>IFERROR(VLOOKUP(LEFT($G40, FIND(" ", $G40&amp;" ") - 1), 'Reference Data'!$A$2:$E$14, 3, FALSE), "")</f>
        <v/>
      </c>
      <c r="K40" s="3">
        <f>IFERROR(VLOOKUP(LEFT($G40, FIND(" ", $G40&amp;" ") - 1), 'Reference Data'!$A$2:$E$14, 4, FALSE), "")</f>
        <v/>
      </c>
      <c r="L40" s="3">
        <f>IFERROR(VLOOKUP(LEFT($G40, FIND(" ", $G40&amp;" ") - 1), 'Reference Data'!$A$2:$E$14, 5, FALSE), "")</f>
        <v/>
      </c>
      <c r="M40" s="3">
        <f>IFERROR(VLOOKUP(LEFT($G40, FIND(" ", $G40&amp;" ") - 1), 'Reference Data'!$A$2:$E$14, 2, FALSE), "")</f>
        <v/>
      </c>
    </row>
    <row r="41" ht="20" customHeight="1">
      <c r="G41" s="1" t="inlineStr">
        <is>
          <t>Paint</t>
        </is>
      </c>
      <c r="J41" s="3" t="n"/>
      <c r="K41" s="3" t="n"/>
      <c r="L41" s="3" t="n"/>
      <c r="M41" s="3" t="n"/>
    </row>
    <row r="42" ht="20" customHeight="1">
      <c r="G42" s="3" t="inlineStr">
        <is>
          <t>DP</t>
        </is>
      </c>
      <c r="H42" s="3" t="inlineStr">
        <is>
          <t>320 CM²</t>
        </is>
      </c>
      <c r="J42" s="3">
        <f>IFERROR(VLOOKUP(LEFT($G42, FIND(" ", $G42&amp;" ") - 1), 'Reference Data'!$A$2:$E$14, 3, FALSE), "")</f>
        <v/>
      </c>
      <c r="K42" s="3">
        <f>IFERROR(VLOOKUP(LEFT($G42, FIND(" ", $G42&amp;" ") - 1), 'Reference Data'!$A$2:$E$14, 4, FALSE), "")</f>
        <v/>
      </c>
      <c r="L42" s="3">
        <f>IFERROR(VLOOKUP(LEFT($G42, FIND(" ", $G42&amp;" ") - 1), 'Reference Data'!$A$2:$E$14, 5, FALSE), "")</f>
        <v/>
      </c>
      <c r="M42" s="3">
        <f>IFERROR(VLOOKUP(LEFT($G42, FIND(" ", $G42&amp;" ") - 1), 'Reference Data'!$A$2:$E$14, 2, FALSE), "")</f>
        <v/>
      </c>
    </row>
    <row r="43" ht="20" customHeight="1">
      <c r="G43" s="1" t="inlineStr">
        <is>
          <t>Gasket</t>
        </is>
      </c>
      <c r="J43" s="3" t="n"/>
      <c r="K43" s="3" t="n"/>
      <c r="L43" s="3" t="n"/>
      <c r="M43" s="3" t="n"/>
    </row>
    <row r="44" ht="20" customHeight="1">
      <c r="G44" s="3" t="inlineStr"/>
      <c r="H44" s="3" t="inlineStr"/>
      <c r="J44" s="3">
        <f>IFERROR(VLOOKUP(LEFT($G44, FIND(" ", $G44&amp;" ") - 1), 'Reference Data'!$A$2:$E$14, 3, FALSE), "")</f>
        <v/>
      </c>
      <c r="K44" s="3">
        <f>IFERROR(VLOOKUP(LEFT($G44, FIND(" ", $G44&amp;" ") - 1), 'Reference Data'!$A$2:$E$14, 4, FALSE), "")</f>
        <v/>
      </c>
      <c r="L44" s="3">
        <f>IFERROR(VLOOKUP(LEFT($G44, FIND(" ", $G44&amp;" ") - 1), 'Reference Data'!$A$2:$E$14, 5, FALSE), "")</f>
        <v/>
      </c>
      <c r="M44" s="3">
        <f>IFERROR(VLOOKUP(LEFT($G44, FIND(" ", $G44&amp;" ") - 1), 'Reference Data'!$A$2:$E$14, 2, FALSE), "")</f>
        <v/>
      </c>
    </row>
    <row r="45" ht="20" customHeight="1">
      <c r="A45" s="3" t="inlineStr">
        <is>
          <t>RUFINO ZUÑIGA JR</t>
        </is>
      </c>
      <c r="B45" s="3" t="inlineStr">
        <is>
          <t>JULY 27, 2026</t>
        </is>
      </c>
      <c r="C45" s="3" t="inlineStr">
        <is>
          <t>BACK</t>
        </is>
      </c>
      <c r="D45" s="3" t="inlineStr">
        <is>
          <t>8</t>
        </is>
      </c>
      <c r="E45" s="3" t="inlineStr">
        <is>
          <t>3</t>
        </is>
      </c>
      <c r="F45" s="3" t="inlineStr">
        <is>
          <t>T2</t>
        </is>
      </c>
      <c r="G45" s="1" t="inlineStr">
        <is>
          <t>Sealant</t>
        </is>
      </c>
      <c r="I45" s="3" t="n"/>
      <c r="J45" s="3" t="n"/>
      <c r="K45" s="3" t="n"/>
      <c r="L45" s="3" t="n"/>
      <c r="M45" s="3" t="n"/>
    </row>
    <row r="46" ht="20" customHeight="1">
      <c r="G46" s="3" t="inlineStr">
        <is>
          <t>DS C-C</t>
        </is>
      </c>
      <c r="H46" s="3" t="inlineStr">
        <is>
          <t>320 CM</t>
        </is>
      </c>
      <c r="J46" s="3">
        <f>IFERROR(VLOOKUP(LEFT($G46, FIND(" ", $G46&amp;" ") - 1), 'Reference Data'!$A$2:$E$14, 3, FALSE), "")</f>
        <v/>
      </c>
      <c r="K46" s="3">
        <f>IFERROR(VLOOKUP(LEFT($G46, FIND(" ", $G46&amp;" ") - 1), 'Reference Data'!$A$2:$E$14, 4, FALSE), "")</f>
        <v/>
      </c>
      <c r="L46" s="3">
        <f>IFERROR(VLOOKUP(LEFT($G46, FIND(" ", $G46&amp;" ") - 1), 'Reference Data'!$A$2:$E$14, 5, FALSE), "")</f>
        <v/>
      </c>
      <c r="M46" s="3">
        <f>IFERROR(VLOOKUP(LEFT($G46, FIND(" ", $G46&amp;" ") - 1), 'Reference Data'!$A$2:$E$14, 2, FALSE), "")</f>
        <v/>
      </c>
    </row>
    <row r="47" ht="20" customHeight="1">
      <c r="G47" s="1" t="inlineStr">
        <is>
          <t>Concrete</t>
        </is>
      </c>
      <c r="J47" s="3" t="n"/>
      <c r="K47" s="3" t="n"/>
      <c r="L47" s="3" t="n"/>
      <c r="M47" s="3" t="n"/>
    </row>
    <row r="48" ht="20" customHeight="1">
      <c r="G48" s="3" t="inlineStr">
        <is>
          <t>C+</t>
        </is>
      </c>
      <c r="H48" s="3" t="inlineStr">
        <is>
          <t>50 CM²</t>
        </is>
      </c>
      <c r="J48" s="3">
        <f>IFERROR(VLOOKUP(LEFT($G48, FIND(" ", $G48&amp;" ") - 1), 'Reference Data'!$A$2:$E$14, 3, FALSE), "")</f>
        <v/>
      </c>
      <c r="K48" s="3">
        <f>IFERROR(VLOOKUP(LEFT($G48, FIND(" ", $G48&amp;" ") - 1), 'Reference Data'!$A$2:$E$14, 4, FALSE), "")</f>
        <v/>
      </c>
      <c r="L48" s="3">
        <f>IFERROR(VLOOKUP(LEFT($G48, FIND(" ", $G48&amp;" ") - 1), 'Reference Data'!$A$2:$E$14, 5, FALSE), "")</f>
        <v/>
      </c>
      <c r="M48" s="3">
        <f>IFERROR(VLOOKUP(LEFT($G48, FIND(" ", $G48&amp;" ") - 1), 'Reference Data'!$A$2:$E$14, 2, FALSE), "")</f>
        <v/>
      </c>
    </row>
    <row r="49" ht="20" customHeight="1">
      <c r="G49" s="1" t="inlineStr">
        <is>
          <t>Paint</t>
        </is>
      </c>
      <c r="J49" s="3" t="n"/>
      <c r="K49" s="3" t="n"/>
      <c r="L49" s="3" t="n"/>
      <c r="M49" s="3" t="n"/>
    </row>
    <row r="50" ht="20" customHeight="1">
      <c r="G50" s="3" t="inlineStr"/>
      <c r="H50" s="3" t="inlineStr"/>
      <c r="J50" s="3">
        <f>IFERROR(VLOOKUP(LEFT($G50, FIND(" ", $G50&amp;" ") - 1), 'Reference Data'!$A$2:$E$14, 3, FALSE), "")</f>
        <v/>
      </c>
      <c r="K50" s="3">
        <f>IFERROR(VLOOKUP(LEFT($G50, FIND(" ", $G50&amp;" ") - 1), 'Reference Data'!$A$2:$E$14, 4, FALSE), "")</f>
        <v/>
      </c>
      <c r="L50" s="3">
        <f>IFERROR(VLOOKUP(LEFT($G50, FIND(" ", $G50&amp;" ") - 1), 'Reference Data'!$A$2:$E$14, 5, FALSE), "")</f>
        <v/>
      </c>
      <c r="M50" s="3">
        <f>IFERROR(VLOOKUP(LEFT($G50, FIND(" ", $G50&amp;" ") - 1), 'Reference Data'!$A$2:$E$14, 2, FALSE), "")</f>
        <v/>
      </c>
    </row>
    <row r="51" ht="20" customHeight="1">
      <c r="G51" s="1" t="inlineStr">
        <is>
          <t>Gasket</t>
        </is>
      </c>
      <c r="J51" s="3" t="n"/>
      <c r="K51" s="3" t="n"/>
      <c r="L51" s="3" t="n"/>
      <c r="M51" s="3" t="n"/>
    </row>
    <row r="52" ht="20" customHeight="1">
      <c r="G52" s="3" t="inlineStr"/>
      <c r="H52" s="3" t="inlineStr"/>
      <c r="J52" s="3">
        <f>IFERROR(VLOOKUP(LEFT($G52, FIND(" ", $G52&amp;" ") - 1), 'Reference Data'!$A$2:$E$14, 3, FALSE), "")</f>
        <v/>
      </c>
      <c r="K52" s="3">
        <f>IFERROR(VLOOKUP(LEFT($G52, FIND(" ", $G52&amp;" ") - 1), 'Reference Data'!$A$2:$E$14, 4, FALSE), "")</f>
        <v/>
      </c>
      <c r="L52" s="3">
        <f>IFERROR(VLOOKUP(LEFT($G52, FIND(" ", $G52&amp;" ") - 1), 'Reference Data'!$A$2:$E$14, 5, FALSE), "")</f>
        <v/>
      </c>
      <c r="M52" s="3">
        <f>IFERROR(VLOOKUP(LEFT($G52, FIND(" ", $G52&amp;" ") - 1), 'Reference Data'!$A$2:$E$14, 2, FALSE), "")</f>
        <v/>
      </c>
    </row>
    <row r="53" ht="20" customHeight="1">
      <c r="A53" s="3" t="inlineStr">
        <is>
          <t>RUFINO ZUÑIGA JR</t>
        </is>
      </c>
      <c r="B53" s="3" t="inlineStr">
        <is>
          <t>JULY 27, 2026</t>
        </is>
      </c>
      <c r="C53" s="3" t="inlineStr">
        <is>
          <t>BACK</t>
        </is>
      </c>
      <c r="D53" s="3" t="inlineStr">
        <is>
          <t>8</t>
        </is>
      </c>
      <c r="E53" s="3" t="inlineStr">
        <is>
          <t>8</t>
        </is>
      </c>
      <c r="F53" s="3" t="inlineStr">
        <is>
          <t>T2</t>
        </is>
      </c>
      <c r="G53" s="1" t="inlineStr">
        <is>
          <t>Sealant</t>
        </is>
      </c>
      <c r="I53" s="3" t="n"/>
      <c r="J53" s="3" t="n"/>
      <c r="K53" s="3" t="n"/>
      <c r="L53" s="3" t="n"/>
      <c r="M53" s="3" t="n"/>
    </row>
    <row r="54" ht="20" customHeight="1">
      <c r="G54" s="3" t="inlineStr">
        <is>
          <t>DS C-C</t>
        </is>
      </c>
      <c r="H54" s="3" t="inlineStr">
        <is>
          <t>320 CM</t>
        </is>
      </c>
      <c r="J54" s="3">
        <f>IFERROR(VLOOKUP(LEFT($G54, FIND(" ", $G54&amp;" ") - 1), 'Reference Data'!$A$2:$E$14, 3, FALSE), "")</f>
        <v/>
      </c>
      <c r="K54" s="3">
        <f>IFERROR(VLOOKUP(LEFT($G54, FIND(" ", $G54&amp;" ") - 1), 'Reference Data'!$A$2:$E$14, 4, FALSE), "")</f>
        <v/>
      </c>
      <c r="L54" s="3">
        <f>IFERROR(VLOOKUP(LEFT($G54, FIND(" ", $G54&amp;" ") - 1), 'Reference Data'!$A$2:$E$14, 5, FALSE), "")</f>
        <v/>
      </c>
      <c r="M54" s="3">
        <f>IFERROR(VLOOKUP(LEFT($G54, FIND(" ", $G54&amp;" ") - 1), 'Reference Data'!$A$2:$E$14, 2, FALSE), "")</f>
        <v/>
      </c>
    </row>
    <row r="55" ht="20" customHeight="1">
      <c r="G55" s="1" t="inlineStr">
        <is>
          <t>Concrete</t>
        </is>
      </c>
      <c r="J55" s="3" t="n"/>
      <c r="K55" s="3" t="n"/>
      <c r="L55" s="3" t="n"/>
      <c r="M55" s="3" t="n"/>
    </row>
    <row r="56" ht="20" customHeight="1">
      <c r="G56" s="3" t="inlineStr"/>
      <c r="H56" s="3" t="inlineStr"/>
      <c r="J56" s="3">
        <f>IFERROR(VLOOKUP(LEFT($G56, FIND(" ", $G56&amp;" ") - 1), 'Reference Data'!$A$2:$E$14, 3, FALSE), "")</f>
        <v/>
      </c>
      <c r="K56" s="3">
        <f>IFERROR(VLOOKUP(LEFT($G56, FIND(" ", $G56&amp;" ") - 1), 'Reference Data'!$A$2:$E$14, 4, FALSE), "")</f>
        <v/>
      </c>
      <c r="L56" s="3">
        <f>IFERROR(VLOOKUP(LEFT($G56, FIND(" ", $G56&amp;" ") - 1), 'Reference Data'!$A$2:$E$14, 5, FALSE), "")</f>
        <v/>
      </c>
      <c r="M56" s="3">
        <f>IFERROR(VLOOKUP(LEFT($G56, FIND(" ", $G56&amp;" ") - 1), 'Reference Data'!$A$2:$E$14, 2, FALSE), "")</f>
        <v/>
      </c>
    </row>
    <row r="57" ht="20" customHeight="1">
      <c r="G57" s="1" t="inlineStr">
        <is>
          <t>Paint</t>
        </is>
      </c>
      <c r="J57" s="3" t="n"/>
      <c r="K57" s="3" t="n"/>
      <c r="L57" s="3" t="n"/>
      <c r="M57" s="3" t="n"/>
    </row>
    <row r="58" ht="20" customHeight="1">
      <c r="G58" s="3" t="inlineStr"/>
      <c r="H58" s="3" t="inlineStr"/>
      <c r="J58" s="3">
        <f>IFERROR(VLOOKUP(LEFT($G58, FIND(" ", $G58&amp;" ") - 1), 'Reference Data'!$A$2:$E$14, 3, FALSE), "")</f>
        <v/>
      </c>
      <c r="K58" s="3">
        <f>IFERROR(VLOOKUP(LEFT($G58, FIND(" ", $G58&amp;" ") - 1), 'Reference Data'!$A$2:$E$14, 4, FALSE), "")</f>
        <v/>
      </c>
      <c r="L58" s="3">
        <f>IFERROR(VLOOKUP(LEFT($G58, FIND(" ", $G58&amp;" ") - 1), 'Reference Data'!$A$2:$E$14, 5, FALSE), "")</f>
        <v/>
      </c>
      <c r="M58" s="3">
        <f>IFERROR(VLOOKUP(LEFT($G58, FIND(" ", $G58&amp;" ") - 1), 'Reference Data'!$A$2:$E$14, 2, FALSE), "")</f>
        <v/>
      </c>
    </row>
    <row r="59" ht="20" customHeight="1">
      <c r="G59" s="1" t="inlineStr">
        <is>
          <t>Gasket</t>
        </is>
      </c>
      <c r="J59" s="3" t="n"/>
      <c r="K59" s="3" t="n"/>
      <c r="L59" s="3" t="n"/>
      <c r="M59" s="3" t="n"/>
    </row>
    <row r="60" ht="20" customHeight="1">
      <c r="G60" s="3" t="inlineStr"/>
      <c r="H60" s="3" t="inlineStr"/>
      <c r="J60" s="3">
        <f>IFERROR(VLOOKUP(LEFT($G60, FIND(" ", $G60&amp;" ") - 1), 'Reference Data'!$A$2:$E$14, 3, FALSE), "")</f>
        <v/>
      </c>
      <c r="K60" s="3">
        <f>IFERROR(VLOOKUP(LEFT($G60, FIND(" ", $G60&amp;" ") - 1), 'Reference Data'!$A$2:$E$14, 4, FALSE), "")</f>
        <v/>
      </c>
      <c r="L60" s="3">
        <f>IFERROR(VLOOKUP(LEFT($G60, FIND(" ", $G60&amp;" ") - 1), 'Reference Data'!$A$2:$E$14, 5, FALSE), "")</f>
        <v/>
      </c>
      <c r="M60" s="3">
        <f>IFERROR(VLOOKUP(LEFT($G60, FIND(" ", $G60&amp;" ") - 1), 'Reference Data'!$A$2:$E$14, 2, FALSE), "")</f>
        <v/>
      </c>
    </row>
    <row r="61" ht="20" customHeight="1">
      <c r="A61" s="3" t="inlineStr">
        <is>
          <t>RUFINO ZUÑIGA JR</t>
        </is>
      </c>
      <c r="B61" s="3" t="inlineStr">
        <is>
          <t>JULY 27, 2026</t>
        </is>
      </c>
      <c r="C61" s="3" t="inlineStr">
        <is>
          <t>BACK</t>
        </is>
      </c>
      <c r="D61" s="3" t="inlineStr">
        <is>
          <t>8</t>
        </is>
      </c>
      <c r="E61" s="3" t="inlineStr">
        <is>
          <t>5</t>
        </is>
      </c>
      <c r="F61" s="3" t="inlineStr">
        <is>
          <t>T2</t>
        </is>
      </c>
      <c r="G61" s="1" t="inlineStr">
        <is>
          <t>Sealant</t>
        </is>
      </c>
      <c r="I61" s="3" t="n"/>
      <c r="J61" s="3" t="n"/>
      <c r="K61" s="3" t="n"/>
      <c r="L61" s="3" t="n"/>
      <c r="M61" s="3" t="n"/>
    </row>
    <row r="62" ht="20" customHeight="1">
      <c r="G62" s="3" t="inlineStr">
        <is>
          <t>DS C-C</t>
        </is>
      </c>
      <c r="H62" s="3" t="inlineStr">
        <is>
          <t>320 CM</t>
        </is>
      </c>
      <c r="J62" s="3">
        <f>IFERROR(VLOOKUP(LEFT($G62, FIND(" ", $G62&amp;" ") - 1), 'Reference Data'!$A$2:$E$14, 3, FALSE), "")</f>
        <v/>
      </c>
      <c r="K62" s="3">
        <f>IFERROR(VLOOKUP(LEFT($G62, FIND(" ", $G62&amp;" ") - 1), 'Reference Data'!$A$2:$E$14, 4, FALSE), "")</f>
        <v/>
      </c>
      <c r="L62" s="3">
        <f>IFERROR(VLOOKUP(LEFT($G62, FIND(" ", $G62&amp;" ") - 1), 'Reference Data'!$A$2:$E$14, 5, FALSE), "")</f>
        <v/>
      </c>
      <c r="M62" s="3">
        <f>IFERROR(VLOOKUP(LEFT($G62, FIND(" ", $G62&amp;" ") - 1), 'Reference Data'!$A$2:$E$14, 2, FALSE), "")</f>
        <v/>
      </c>
    </row>
    <row r="63" ht="20" customHeight="1">
      <c r="G63" s="1" t="inlineStr">
        <is>
          <t>Concrete</t>
        </is>
      </c>
      <c r="J63" s="3" t="n"/>
      <c r="K63" s="3" t="n"/>
      <c r="L63" s="3" t="n"/>
      <c r="M63" s="3" t="n"/>
    </row>
    <row r="64" ht="20" customHeight="1">
      <c r="G64" s="3" t="inlineStr"/>
      <c r="H64" s="3" t="inlineStr"/>
      <c r="J64" s="3">
        <f>IFERROR(VLOOKUP(LEFT($G64, FIND(" ", $G64&amp;" ") - 1), 'Reference Data'!$A$2:$E$14, 3, FALSE), "")</f>
        <v/>
      </c>
      <c r="K64" s="3">
        <f>IFERROR(VLOOKUP(LEFT($G64, FIND(" ", $G64&amp;" ") - 1), 'Reference Data'!$A$2:$E$14, 4, FALSE), "")</f>
        <v/>
      </c>
      <c r="L64" s="3">
        <f>IFERROR(VLOOKUP(LEFT($G64, FIND(" ", $G64&amp;" ") - 1), 'Reference Data'!$A$2:$E$14, 5, FALSE), "")</f>
        <v/>
      </c>
      <c r="M64" s="3">
        <f>IFERROR(VLOOKUP(LEFT($G64, FIND(" ", $G64&amp;" ") - 1), 'Reference Data'!$A$2:$E$14, 2, FALSE), "")</f>
        <v/>
      </c>
    </row>
    <row r="65" ht="20" customHeight="1">
      <c r="G65" s="1" t="inlineStr">
        <is>
          <t>Paint</t>
        </is>
      </c>
      <c r="J65" s="3" t="n"/>
      <c r="K65" s="3" t="n"/>
      <c r="L65" s="3" t="n"/>
      <c r="M65" s="3" t="n"/>
    </row>
    <row r="66" ht="20" customHeight="1">
      <c r="G66" s="3" t="inlineStr"/>
      <c r="H66" s="3" t="inlineStr"/>
      <c r="J66" s="3">
        <f>IFERROR(VLOOKUP(LEFT($G66, FIND(" ", $G66&amp;" ") - 1), 'Reference Data'!$A$2:$E$14, 3, FALSE), "")</f>
        <v/>
      </c>
      <c r="K66" s="3">
        <f>IFERROR(VLOOKUP(LEFT($G66, FIND(" ", $G66&amp;" ") - 1), 'Reference Data'!$A$2:$E$14, 4, FALSE), "")</f>
        <v/>
      </c>
      <c r="L66" s="3">
        <f>IFERROR(VLOOKUP(LEFT($G66, FIND(" ", $G66&amp;" ") - 1), 'Reference Data'!$A$2:$E$14, 5, FALSE), "")</f>
        <v/>
      </c>
      <c r="M66" s="3">
        <f>IFERROR(VLOOKUP(LEFT($G66, FIND(" ", $G66&amp;" ") - 1), 'Reference Data'!$A$2:$E$14, 2, FALSE), "")</f>
        <v/>
      </c>
    </row>
    <row r="67" ht="20" customHeight="1">
      <c r="G67" s="1" t="inlineStr">
        <is>
          <t>Gasket</t>
        </is>
      </c>
      <c r="J67" s="3" t="n"/>
      <c r="K67" s="3" t="n"/>
      <c r="L67" s="3" t="n"/>
      <c r="M67" s="3" t="n"/>
    </row>
    <row r="68" ht="20" customHeight="1">
      <c r="G68" s="3" t="inlineStr"/>
      <c r="H68" s="3" t="inlineStr"/>
      <c r="J68" s="3">
        <f>IFERROR(VLOOKUP(LEFT($G68, FIND(" ", $G68&amp;" ") - 1), 'Reference Data'!$A$2:$E$14, 3, FALSE), "")</f>
        <v/>
      </c>
      <c r="K68" s="3">
        <f>IFERROR(VLOOKUP(LEFT($G68, FIND(" ", $G68&amp;" ") - 1), 'Reference Data'!$A$2:$E$14, 4, FALSE), "")</f>
        <v/>
      </c>
      <c r="L68" s="3">
        <f>IFERROR(VLOOKUP(LEFT($G68, FIND(" ", $G68&amp;" ") - 1), 'Reference Data'!$A$2:$E$14, 5, FALSE), "")</f>
        <v/>
      </c>
      <c r="M68" s="3">
        <f>IFERROR(VLOOKUP(LEFT($G68, FIND(" ", $G68&amp;" ") - 1), 'Reference Data'!$A$2:$E$14, 2, FALSE), "")</f>
        <v/>
      </c>
    </row>
    <row r="69" ht="20" customHeight="1">
      <c r="A69" s="3" t="inlineStr">
        <is>
          <t>RUFINO ZUÑIGA JR</t>
        </is>
      </c>
      <c r="B69" s="3" t="inlineStr">
        <is>
          <t>JULY 27, 2026</t>
        </is>
      </c>
      <c r="C69" s="3" t="inlineStr">
        <is>
          <t>BACK</t>
        </is>
      </c>
      <c r="D69" s="3" t="inlineStr">
        <is>
          <t>8</t>
        </is>
      </c>
      <c r="E69" s="3" t="inlineStr">
        <is>
          <t>4</t>
        </is>
      </c>
      <c r="F69" s="3" t="inlineStr">
        <is>
          <t>T2</t>
        </is>
      </c>
      <c r="G69" s="1" t="inlineStr">
        <is>
          <t>Sealant</t>
        </is>
      </c>
      <c r="I69" s="3" t="n"/>
      <c r="J69" s="3" t="n"/>
      <c r="K69" s="3" t="n"/>
      <c r="L69" s="3" t="n"/>
      <c r="M69" s="3" t="n"/>
    </row>
    <row r="70" ht="20" customHeight="1">
      <c r="G70" s="3" t="inlineStr">
        <is>
          <t>DS C-C</t>
        </is>
      </c>
      <c r="H70" s="3" t="inlineStr">
        <is>
          <t>320 CM</t>
        </is>
      </c>
      <c r="J70" s="3">
        <f>IFERROR(VLOOKUP(LEFT($G70, FIND(" ", $G70&amp;" ") - 1), 'Reference Data'!$A$2:$E$14, 3, FALSE), "")</f>
        <v/>
      </c>
      <c r="K70" s="3">
        <f>IFERROR(VLOOKUP(LEFT($G70, FIND(" ", $G70&amp;" ") - 1), 'Reference Data'!$A$2:$E$14, 4, FALSE), "")</f>
        <v/>
      </c>
      <c r="L70" s="3">
        <f>IFERROR(VLOOKUP(LEFT($G70, FIND(" ", $G70&amp;" ") - 1), 'Reference Data'!$A$2:$E$14, 5, FALSE), "")</f>
        <v/>
      </c>
      <c r="M70" s="3">
        <f>IFERROR(VLOOKUP(LEFT($G70, FIND(" ", $G70&amp;" ") - 1), 'Reference Data'!$A$2:$E$14, 2, FALSE), "")</f>
        <v/>
      </c>
    </row>
    <row r="71" ht="20" customHeight="1">
      <c r="G71" s="1" t="inlineStr">
        <is>
          <t>Concrete</t>
        </is>
      </c>
      <c r="J71" s="3" t="n"/>
      <c r="K71" s="3" t="n"/>
      <c r="L71" s="3" t="n"/>
      <c r="M71" s="3" t="n"/>
    </row>
    <row r="72" ht="20" customHeight="1">
      <c r="G72" s="3" t="inlineStr">
        <is>
          <t>C+</t>
        </is>
      </c>
      <c r="H72" s="3" t="inlineStr">
        <is>
          <t>40 CM²</t>
        </is>
      </c>
      <c r="J72" s="3">
        <f>IFERROR(VLOOKUP(LEFT($G72, FIND(" ", $G72&amp;" ") - 1), 'Reference Data'!$A$2:$E$14, 3, FALSE), "")</f>
        <v/>
      </c>
      <c r="K72" s="3">
        <f>IFERROR(VLOOKUP(LEFT($G72, FIND(" ", $G72&amp;" ") - 1), 'Reference Data'!$A$2:$E$14, 4, FALSE), "")</f>
        <v/>
      </c>
      <c r="L72" s="3">
        <f>IFERROR(VLOOKUP(LEFT($G72, FIND(" ", $G72&amp;" ") - 1), 'Reference Data'!$A$2:$E$14, 5, FALSE), "")</f>
        <v/>
      </c>
      <c r="M72" s="3">
        <f>IFERROR(VLOOKUP(LEFT($G72, FIND(" ", $G72&amp;" ") - 1), 'Reference Data'!$A$2:$E$14, 2, FALSE), "")</f>
        <v/>
      </c>
    </row>
    <row r="73" ht="20" customHeight="1">
      <c r="G73" s="1" t="inlineStr">
        <is>
          <t>Paint</t>
        </is>
      </c>
      <c r="J73" s="3" t="n"/>
      <c r="K73" s="3" t="n"/>
      <c r="L73" s="3" t="n"/>
      <c r="M73" s="3" t="n"/>
    </row>
    <row r="74" ht="20" customHeight="1">
      <c r="G74" s="3" t="inlineStr"/>
      <c r="H74" s="3" t="inlineStr"/>
      <c r="J74" s="3">
        <f>IFERROR(VLOOKUP(LEFT($G74, FIND(" ", $G74&amp;" ") - 1), 'Reference Data'!$A$2:$E$14, 3, FALSE), "")</f>
        <v/>
      </c>
      <c r="K74" s="3">
        <f>IFERROR(VLOOKUP(LEFT($G74, FIND(" ", $G74&amp;" ") - 1), 'Reference Data'!$A$2:$E$14, 4, FALSE), "")</f>
        <v/>
      </c>
      <c r="L74" s="3">
        <f>IFERROR(VLOOKUP(LEFT($G74, FIND(" ", $G74&amp;" ") - 1), 'Reference Data'!$A$2:$E$14, 5, FALSE), "")</f>
        <v/>
      </c>
      <c r="M74" s="3">
        <f>IFERROR(VLOOKUP(LEFT($G74, FIND(" ", $G74&amp;" ") - 1), 'Reference Data'!$A$2:$E$14, 2, FALSE), "")</f>
        <v/>
      </c>
    </row>
    <row r="75" ht="20" customHeight="1">
      <c r="G75" s="1" t="inlineStr">
        <is>
          <t>Gasket</t>
        </is>
      </c>
      <c r="J75" s="3" t="n"/>
      <c r="K75" s="3" t="n"/>
      <c r="L75" s="3" t="n"/>
      <c r="M75" s="3" t="n"/>
    </row>
    <row r="76" ht="20" customHeight="1">
      <c r="G76" s="3" t="inlineStr"/>
      <c r="H76" s="3" t="inlineStr"/>
      <c r="J76" s="3">
        <f>IFERROR(VLOOKUP(LEFT($G76, FIND(" ", $G76&amp;" ") - 1), 'Reference Data'!$A$2:$E$14, 3, FALSE), "")</f>
        <v/>
      </c>
      <c r="K76" s="3">
        <f>IFERROR(VLOOKUP(LEFT($G76, FIND(" ", $G76&amp;" ") - 1), 'Reference Data'!$A$2:$E$14, 4, FALSE), "")</f>
        <v/>
      </c>
      <c r="L76" s="3">
        <f>IFERROR(VLOOKUP(LEFT($G76, FIND(" ", $G76&amp;" ") - 1), 'Reference Data'!$A$2:$E$14, 5, FALSE), "")</f>
        <v/>
      </c>
      <c r="M76" s="3">
        <f>IFERROR(VLOOKUP(LEFT($G76, FIND(" ", $G76&amp;" ") - 1), 'Reference Data'!$A$2:$E$14, 2, FALSE), "")</f>
        <v/>
      </c>
    </row>
    <row r="77" ht="20" customHeight="1">
      <c r="A77" s="3" t="inlineStr">
        <is>
          <t>RUFINO ZUÑIGA JR</t>
        </is>
      </c>
      <c r="B77" s="3" t="inlineStr">
        <is>
          <t>JULY 27, 2026</t>
        </is>
      </c>
      <c r="C77" s="3" t="inlineStr">
        <is>
          <t>BACK</t>
        </is>
      </c>
      <c r="D77" s="3" t="inlineStr">
        <is>
          <t>8</t>
        </is>
      </c>
      <c r="E77" s="3" t="inlineStr">
        <is>
          <t>6</t>
        </is>
      </c>
      <c r="F77" s="3" t="inlineStr">
        <is>
          <t>TOWER 2</t>
        </is>
      </c>
      <c r="G77" s="1" t="inlineStr">
        <is>
          <t>Sealant</t>
        </is>
      </c>
      <c r="I77" s="3" t="n"/>
      <c r="J77" s="3" t="n"/>
      <c r="K77" s="3" t="n"/>
      <c r="L77" s="3" t="n"/>
      <c r="M77" s="3" t="n"/>
    </row>
    <row r="78" ht="20" customHeight="1">
      <c r="G78" s="3" t="inlineStr">
        <is>
          <t>DS C-C</t>
        </is>
      </c>
      <c r="H78" s="3" t="inlineStr">
        <is>
          <t>320 CM</t>
        </is>
      </c>
      <c r="J78" s="3">
        <f>IFERROR(VLOOKUP(LEFT($G78, FIND(" ", $G78&amp;" ") - 1), 'Reference Data'!$A$2:$E$14, 3, FALSE), "")</f>
        <v/>
      </c>
      <c r="K78" s="3">
        <f>IFERROR(VLOOKUP(LEFT($G78, FIND(" ", $G78&amp;" ") - 1), 'Reference Data'!$A$2:$E$14, 4, FALSE), "")</f>
        <v/>
      </c>
      <c r="L78" s="3">
        <f>IFERROR(VLOOKUP(LEFT($G78, FIND(" ", $G78&amp;" ") - 1), 'Reference Data'!$A$2:$E$14, 5, FALSE), "")</f>
        <v/>
      </c>
      <c r="M78" s="3">
        <f>IFERROR(VLOOKUP(LEFT($G78, FIND(" ", $G78&amp;" ") - 1), 'Reference Data'!$A$2:$E$14, 2, FALSE), "")</f>
        <v/>
      </c>
    </row>
    <row r="79" ht="20" customHeight="1">
      <c r="G79" s="1" t="inlineStr">
        <is>
          <t>Concrete</t>
        </is>
      </c>
      <c r="J79" s="3" t="n"/>
      <c r="K79" s="3" t="n"/>
      <c r="L79" s="3" t="n"/>
      <c r="M79" s="3" t="n"/>
    </row>
    <row r="80" ht="20" customHeight="1">
      <c r="G80" s="3" t="inlineStr">
        <is>
          <t>BH</t>
        </is>
      </c>
      <c r="H80" s="3" t="inlineStr">
        <is>
          <t>10 CM²</t>
        </is>
      </c>
      <c r="J80" s="3">
        <f>IFERROR(VLOOKUP(LEFT($G80, FIND(" ", $G80&amp;" ") - 1), 'Reference Data'!$A$2:$E$14, 3, FALSE), "")</f>
        <v/>
      </c>
      <c r="K80" s="3">
        <f>IFERROR(VLOOKUP(LEFT($G80, FIND(" ", $G80&amp;" ") - 1), 'Reference Data'!$A$2:$E$14, 4, FALSE), "")</f>
        <v/>
      </c>
      <c r="L80" s="3">
        <f>IFERROR(VLOOKUP(LEFT($G80, FIND(" ", $G80&amp;" ") - 1), 'Reference Data'!$A$2:$E$14, 5, FALSE), "")</f>
        <v/>
      </c>
      <c r="M80" s="3">
        <f>IFERROR(VLOOKUP(LEFT($G80, FIND(" ", $G80&amp;" ") - 1), 'Reference Data'!$A$2:$E$14, 2, FALSE), "")</f>
        <v/>
      </c>
    </row>
    <row r="81" ht="20" customHeight="1">
      <c r="G81" s="1" t="inlineStr">
        <is>
          <t>Paint</t>
        </is>
      </c>
      <c r="J81" s="3" t="n"/>
      <c r="K81" s="3" t="n"/>
      <c r="L81" s="3" t="n"/>
      <c r="M81" s="3" t="n"/>
    </row>
    <row r="82" ht="20" customHeight="1">
      <c r="G82" s="3" t="inlineStr"/>
      <c r="H82" s="3" t="inlineStr"/>
      <c r="J82" s="3">
        <f>IFERROR(VLOOKUP(LEFT($G82, FIND(" ", $G82&amp;" ") - 1), 'Reference Data'!$A$2:$E$14, 3, FALSE), "")</f>
        <v/>
      </c>
      <c r="K82" s="3">
        <f>IFERROR(VLOOKUP(LEFT($G82, FIND(" ", $G82&amp;" ") - 1), 'Reference Data'!$A$2:$E$14, 4, FALSE), "")</f>
        <v/>
      </c>
      <c r="L82" s="3">
        <f>IFERROR(VLOOKUP(LEFT($G82, FIND(" ", $G82&amp;" ") - 1), 'Reference Data'!$A$2:$E$14, 5, FALSE), "")</f>
        <v/>
      </c>
      <c r="M82" s="3">
        <f>IFERROR(VLOOKUP(LEFT($G82, FIND(" ", $G82&amp;" ") - 1), 'Reference Data'!$A$2:$E$14, 2, FALSE), "")</f>
        <v/>
      </c>
    </row>
    <row r="83" ht="20" customHeight="1">
      <c r="G83" s="1" t="inlineStr">
        <is>
          <t>Gasket</t>
        </is>
      </c>
      <c r="J83" s="3" t="n"/>
      <c r="K83" s="3" t="n"/>
      <c r="L83" s="3" t="n"/>
      <c r="M83" s="3" t="n"/>
    </row>
    <row r="84" ht="20" customHeight="1">
      <c r="G84" s="3" t="inlineStr"/>
      <c r="H84" s="3" t="inlineStr"/>
      <c r="J84" s="3">
        <f>IFERROR(VLOOKUP(LEFT($G84, FIND(" ", $G84&amp;" ") - 1), 'Reference Data'!$A$2:$E$14, 3, FALSE), "")</f>
        <v/>
      </c>
      <c r="K84" s="3">
        <f>IFERROR(VLOOKUP(LEFT($G84, FIND(" ", $G84&amp;" ") - 1), 'Reference Data'!$A$2:$E$14, 4, FALSE), "")</f>
        <v/>
      </c>
      <c r="L84" s="3">
        <f>IFERROR(VLOOKUP(LEFT($G84, FIND(" ", $G84&amp;" ") - 1), 'Reference Data'!$A$2:$E$14, 5, FALSE), "")</f>
        <v/>
      </c>
      <c r="M84" s="3">
        <f>IFERROR(VLOOKUP(LEFT($G84, FIND(" ", $G84&amp;" ") - 1), 'Reference Data'!$A$2:$E$14, 2, FALSE), "")</f>
        <v/>
      </c>
    </row>
    <row r="85" ht="20" customHeight="1">
      <c r="A85" s="3" t="inlineStr">
        <is>
          <t>RUFINO ZUÑIGA JR</t>
        </is>
      </c>
      <c r="B85" s="3" t="inlineStr">
        <is>
          <t>JULY 27, 2026</t>
        </is>
      </c>
      <c r="C85" s="3" t="inlineStr">
        <is>
          <t>BACK</t>
        </is>
      </c>
      <c r="D85" s="3" t="inlineStr">
        <is>
          <t>8</t>
        </is>
      </c>
      <c r="E85" s="3" t="inlineStr">
        <is>
          <t>10</t>
        </is>
      </c>
      <c r="F85" s="3" t="inlineStr">
        <is>
          <t>T2</t>
        </is>
      </c>
      <c r="G85" s="1" t="inlineStr">
        <is>
          <t>Sealant</t>
        </is>
      </c>
      <c r="I85" s="3" t="n"/>
      <c r="J85" s="3" t="n"/>
      <c r="K85" s="3" t="n"/>
      <c r="L85" s="3" t="n"/>
      <c r="M85" s="3" t="n"/>
    </row>
    <row r="86" ht="20" customHeight="1">
      <c r="G86" s="3" t="inlineStr">
        <is>
          <t>DS C-C</t>
        </is>
      </c>
      <c r="H86" s="3" t="inlineStr">
        <is>
          <t>320 CM</t>
        </is>
      </c>
      <c r="J86" s="3">
        <f>IFERROR(VLOOKUP(LEFT($G86, FIND(" ", $G86&amp;" ") - 1), 'Reference Data'!$A$2:$E$14, 3, FALSE), "")</f>
        <v/>
      </c>
      <c r="K86" s="3">
        <f>IFERROR(VLOOKUP(LEFT($G86, FIND(" ", $G86&amp;" ") - 1), 'Reference Data'!$A$2:$E$14, 4, FALSE), "")</f>
        <v/>
      </c>
      <c r="L86" s="3">
        <f>IFERROR(VLOOKUP(LEFT($G86, FIND(" ", $G86&amp;" ") - 1), 'Reference Data'!$A$2:$E$14, 5, FALSE), "")</f>
        <v/>
      </c>
      <c r="M86" s="3">
        <f>IFERROR(VLOOKUP(LEFT($G86, FIND(" ", $G86&amp;" ") - 1), 'Reference Data'!$A$2:$E$14, 2, FALSE), "")</f>
        <v/>
      </c>
    </row>
    <row r="87" ht="20" customHeight="1">
      <c r="G87" s="1" t="inlineStr">
        <is>
          <t>Concrete</t>
        </is>
      </c>
      <c r="J87" s="3" t="n"/>
      <c r="K87" s="3" t="n"/>
      <c r="L87" s="3" t="n"/>
      <c r="M87" s="3" t="n"/>
    </row>
    <row r="88" ht="20" customHeight="1">
      <c r="G88" s="3" t="inlineStr"/>
      <c r="H88" s="3" t="inlineStr"/>
      <c r="J88" s="3">
        <f>IFERROR(VLOOKUP(LEFT($G88, FIND(" ", $G88&amp;" ") - 1), 'Reference Data'!$A$2:$E$14, 3, FALSE), "")</f>
        <v/>
      </c>
      <c r="K88" s="3">
        <f>IFERROR(VLOOKUP(LEFT($G88, FIND(" ", $G88&amp;" ") - 1), 'Reference Data'!$A$2:$E$14, 4, FALSE), "")</f>
        <v/>
      </c>
      <c r="L88" s="3">
        <f>IFERROR(VLOOKUP(LEFT($G88, FIND(" ", $G88&amp;" ") - 1), 'Reference Data'!$A$2:$E$14, 5, FALSE), "")</f>
        <v/>
      </c>
      <c r="M88" s="3">
        <f>IFERROR(VLOOKUP(LEFT($G88, FIND(" ", $G88&amp;" ") - 1), 'Reference Data'!$A$2:$E$14, 2, FALSE), "")</f>
        <v/>
      </c>
    </row>
    <row r="89" ht="20" customHeight="1">
      <c r="G89" s="1" t="inlineStr">
        <is>
          <t>Paint</t>
        </is>
      </c>
      <c r="J89" s="3" t="n"/>
      <c r="K89" s="3" t="n"/>
      <c r="L89" s="3" t="n"/>
      <c r="M89" s="3" t="n"/>
    </row>
    <row r="90" ht="20" customHeight="1">
      <c r="G90" s="3" t="inlineStr"/>
      <c r="H90" s="3" t="inlineStr"/>
      <c r="J90" s="3">
        <f>IFERROR(VLOOKUP(LEFT($G90, FIND(" ", $G90&amp;" ") - 1), 'Reference Data'!$A$2:$E$14, 3, FALSE), "")</f>
        <v/>
      </c>
      <c r="K90" s="3">
        <f>IFERROR(VLOOKUP(LEFT($G90, FIND(" ", $G90&amp;" ") - 1), 'Reference Data'!$A$2:$E$14, 4, FALSE), "")</f>
        <v/>
      </c>
      <c r="L90" s="3">
        <f>IFERROR(VLOOKUP(LEFT($G90, FIND(" ", $G90&amp;" ") - 1), 'Reference Data'!$A$2:$E$14, 5, FALSE), "")</f>
        <v/>
      </c>
      <c r="M90" s="3">
        <f>IFERROR(VLOOKUP(LEFT($G90, FIND(" ", $G90&amp;" ") - 1), 'Reference Data'!$A$2:$E$14, 2, FALSE), "")</f>
        <v/>
      </c>
    </row>
    <row r="91" ht="20" customHeight="1">
      <c r="G91" s="1" t="inlineStr">
        <is>
          <t>Gasket</t>
        </is>
      </c>
      <c r="J91" s="3" t="n"/>
      <c r="K91" s="3" t="n"/>
      <c r="L91" s="3" t="n"/>
      <c r="M91" s="3" t="n"/>
    </row>
    <row r="92" ht="20" customHeight="1">
      <c r="G92" s="3" t="inlineStr"/>
      <c r="H92" s="3" t="inlineStr"/>
      <c r="J92" s="3">
        <f>IFERROR(VLOOKUP(LEFT($G92, FIND(" ", $G92&amp;" ") - 1), 'Reference Data'!$A$2:$E$14, 3, FALSE), "")</f>
        <v/>
      </c>
      <c r="K92" s="3">
        <f>IFERROR(VLOOKUP(LEFT($G92, FIND(" ", $G92&amp;" ") - 1), 'Reference Data'!$A$2:$E$14, 4, FALSE), "")</f>
        <v/>
      </c>
      <c r="L92" s="3">
        <f>IFERROR(VLOOKUP(LEFT($G92, FIND(" ", $G92&amp;" ") - 1), 'Reference Data'!$A$2:$E$14, 5, FALSE), "")</f>
        <v/>
      </c>
      <c r="M92" s="3">
        <f>IFERROR(VLOOKUP(LEFT($G92, FIND(" ", $G92&amp;" ") - 1), 'Reference Data'!$A$2:$E$14, 2, FALSE), "")</f>
        <v/>
      </c>
    </row>
    <row r="93" ht="20" customHeight="1">
      <c r="A93" s="3" t="inlineStr">
        <is>
          <t>RUFINO ZUÑIGA JR</t>
        </is>
      </c>
      <c r="B93" s="3" t="inlineStr">
        <is>
          <t>JULY 27, 2026</t>
        </is>
      </c>
      <c r="C93" s="3" t="inlineStr">
        <is>
          <t>BACK</t>
        </is>
      </c>
      <c r="D93" s="3" t="inlineStr">
        <is>
          <t>8</t>
        </is>
      </c>
      <c r="E93" s="3" t="inlineStr">
        <is>
          <t>11</t>
        </is>
      </c>
      <c r="F93" s="3" t="inlineStr">
        <is>
          <t>T2</t>
        </is>
      </c>
      <c r="G93" s="1" t="inlineStr">
        <is>
          <t>Sealant</t>
        </is>
      </c>
      <c r="I93" s="3" t="n"/>
      <c r="J93" s="3" t="n"/>
      <c r="K93" s="3" t="n"/>
      <c r="L93" s="3" t="n"/>
      <c r="M93" s="3" t="n"/>
    </row>
    <row r="94" ht="20" customHeight="1">
      <c r="G94" s="3" t="inlineStr">
        <is>
          <t>DS C-C</t>
        </is>
      </c>
      <c r="H94" s="3" t="inlineStr">
        <is>
          <t>320 CM</t>
        </is>
      </c>
      <c r="J94" s="3">
        <f>IFERROR(VLOOKUP(LEFT($G94, FIND(" ", $G94&amp;" ") - 1), 'Reference Data'!$A$2:$E$14, 3, FALSE), "")</f>
        <v/>
      </c>
      <c r="K94" s="3">
        <f>IFERROR(VLOOKUP(LEFT($G94, FIND(" ", $G94&amp;" ") - 1), 'Reference Data'!$A$2:$E$14, 4, FALSE), "")</f>
        <v/>
      </c>
      <c r="L94" s="3">
        <f>IFERROR(VLOOKUP(LEFT($G94, FIND(" ", $G94&amp;" ") - 1), 'Reference Data'!$A$2:$E$14, 5, FALSE), "")</f>
        <v/>
      </c>
      <c r="M94" s="3">
        <f>IFERROR(VLOOKUP(LEFT($G94, FIND(" ", $G94&amp;" ") - 1), 'Reference Data'!$A$2:$E$14, 2, FALSE), "")</f>
        <v/>
      </c>
    </row>
    <row r="95" ht="20" customHeight="1">
      <c r="G95" s="1" t="inlineStr">
        <is>
          <t>Concrete</t>
        </is>
      </c>
      <c r="J95" s="3" t="n"/>
      <c r="K95" s="3" t="n"/>
      <c r="L95" s="3" t="n"/>
      <c r="M95" s="3" t="n"/>
    </row>
    <row r="96" ht="20" customHeight="1">
      <c r="G96" s="3" t="inlineStr"/>
      <c r="H96" s="3" t="inlineStr"/>
      <c r="J96" s="3">
        <f>IFERROR(VLOOKUP(LEFT($G96, FIND(" ", $G96&amp;" ") - 1), 'Reference Data'!$A$2:$E$14, 3, FALSE), "")</f>
        <v/>
      </c>
      <c r="K96" s="3">
        <f>IFERROR(VLOOKUP(LEFT($G96, FIND(" ", $G96&amp;" ") - 1), 'Reference Data'!$A$2:$E$14, 4, FALSE), "")</f>
        <v/>
      </c>
      <c r="L96" s="3">
        <f>IFERROR(VLOOKUP(LEFT($G96, FIND(" ", $G96&amp;" ") - 1), 'Reference Data'!$A$2:$E$14, 5, FALSE), "")</f>
        <v/>
      </c>
      <c r="M96" s="3">
        <f>IFERROR(VLOOKUP(LEFT($G96, FIND(" ", $G96&amp;" ") - 1), 'Reference Data'!$A$2:$E$14, 2, FALSE), "")</f>
        <v/>
      </c>
    </row>
    <row r="97" ht="20" customHeight="1">
      <c r="G97" s="1" t="inlineStr">
        <is>
          <t>Paint</t>
        </is>
      </c>
      <c r="J97" s="3" t="n"/>
      <c r="K97" s="3" t="n"/>
      <c r="L97" s="3" t="n"/>
      <c r="M97" s="3" t="n"/>
    </row>
    <row r="98" ht="20" customHeight="1">
      <c r="G98" s="3" t="inlineStr">
        <is>
          <t>DP</t>
        </is>
      </c>
      <c r="H98" s="3" t="inlineStr">
        <is>
          <t>320 CM²</t>
        </is>
      </c>
      <c r="J98" s="3">
        <f>IFERROR(VLOOKUP(LEFT($G98, FIND(" ", $G98&amp;" ") - 1), 'Reference Data'!$A$2:$E$14, 3, FALSE), "")</f>
        <v/>
      </c>
      <c r="K98" s="3">
        <f>IFERROR(VLOOKUP(LEFT($G98, FIND(" ", $G98&amp;" ") - 1), 'Reference Data'!$A$2:$E$14, 4, FALSE), "")</f>
        <v/>
      </c>
      <c r="L98" s="3">
        <f>IFERROR(VLOOKUP(LEFT($G98, FIND(" ", $G98&amp;" ") - 1), 'Reference Data'!$A$2:$E$14, 5, FALSE), "")</f>
        <v/>
      </c>
      <c r="M98" s="3">
        <f>IFERROR(VLOOKUP(LEFT($G98, FIND(" ", $G98&amp;" ") - 1), 'Reference Data'!$A$2:$E$14, 2, FALSE), "")</f>
        <v/>
      </c>
    </row>
    <row r="99" ht="20" customHeight="1">
      <c r="G99" s="1" t="inlineStr">
        <is>
          <t>Gasket</t>
        </is>
      </c>
      <c r="J99" s="3" t="n"/>
      <c r="K99" s="3" t="n"/>
      <c r="L99" s="3" t="n"/>
      <c r="M99" s="3" t="n"/>
    </row>
    <row r="100" ht="20" customHeight="1">
      <c r="G100" s="3" t="inlineStr"/>
      <c r="H100" s="3" t="inlineStr"/>
      <c r="J100" s="3">
        <f>IFERROR(VLOOKUP(LEFT($G100, FIND(" ", $G100&amp;" ") - 1), 'Reference Data'!$A$2:$E$14, 3, FALSE), "")</f>
        <v/>
      </c>
      <c r="K100" s="3">
        <f>IFERROR(VLOOKUP(LEFT($G100, FIND(" ", $G100&amp;" ") - 1), 'Reference Data'!$A$2:$E$14, 4, FALSE), "")</f>
        <v/>
      </c>
      <c r="L100" s="3">
        <f>IFERROR(VLOOKUP(LEFT($G100, FIND(" ", $G100&amp;" ") - 1), 'Reference Data'!$A$2:$E$14, 5, FALSE), "")</f>
        <v/>
      </c>
      <c r="M100" s="3">
        <f>IFERROR(VLOOKUP(LEFT($G100, FIND(" ", $G100&amp;" ") - 1), 'Reference Data'!$A$2:$E$14, 2, FALSE), "")</f>
        <v/>
      </c>
    </row>
    <row r="101" ht="20" customHeight="1">
      <c r="A101" s="3" t="inlineStr">
        <is>
          <t>RUFINO ZUÑIGA JR</t>
        </is>
      </c>
      <c r="B101" s="3" t="inlineStr">
        <is>
          <t>JULY 27, 2026</t>
        </is>
      </c>
      <c r="C101" s="3" t="inlineStr">
        <is>
          <t>BACK</t>
        </is>
      </c>
      <c r="D101" s="3" t="inlineStr">
        <is>
          <t>8</t>
        </is>
      </c>
      <c r="E101" s="3" t="inlineStr">
        <is>
          <t>12</t>
        </is>
      </c>
      <c r="F101" s="3" t="inlineStr">
        <is>
          <t>T2</t>
        </is>
      </c>
      <c r="G101" s="1" t="inlineStr">
        <is>
          <t>Sealant</t>
        </is>
      </c>
      <c r="I101" s="3" t="n"/>
      <c r="J101" s="3" t="n"/>
      <c r="K101" s="3" t="n"/>
      <c r="L101" s="3" t="n"/>
      <c r="M101" s="3" t="n"/>
    </row>
    <row r="102" ht="20" customHeight="1">
      <c r="G102" s="3" t="inlineStr">
        <is>
          <t>DS C-C</t>
        </is>
      </c>
      <c r="H102" s="3" t="inlineStr">
        <is>
          <t>320 CM</t>
        </is>
      </c>
      <c r="J102" s="3">
        <f>IFERROR(VLOOKUP(LEFT($G102, FIND(" ", $G102&amp;" ") - 1), 'Reference Data'!$A$2:$E$14, 3, FALSE), "")</f>
        <v/>
      </c>
      <c r="K102" s="3">
        <f>IFERROR(VLOOKUP(LEFT($G102, FIND(" ", $G102&amp;" ") - 1), 'Reference Data'!$A$2:$E$14, 4, FALSE), "")</f>
        <v/>
      </c>
      <c r="L102" s="3">
        <f>IFERROR(VLOOKUP(LEFT($G102, FIND(" ", $G102&amp;" ") - 1), 'Reference Data'!$A$2:$E$14, 5, FALSE), "")</f>
        <v/>
      </c>
      <c r="M102" s="3">
        <f>IFERROR(VLOOKUP(LEFT($G102, FIND(" ", $G102&amp;" ") - 1), 'Reference Data'!$A$2:$E$14, 2, FALSE), "")</f>
        <v/>
      </c>
    </row>
    <row r="103" ht="20" customHeight="1">
      <c r="G103" s="1" t="inlineStr">
        <is>
          <t>Concrete</t>
        </is>
      </c>
      <c r="J103" s="3" t="n"/>
      <c r="K103" s="3" t="n"/>
      <c r="L103" s="3" t="n"/>
      <c r="M103" s="3" t="n"/>
    </row>
    <row r="104" ht="20" customHeight="1">
      <c r="G104" s="3" t="inlineStr"/>
      <c r="H104" s="3" t="inlineStr"/>
      <c r="J104" s="3">
        <f>IFERROR(VLOOKUP(LEFT($G104, FIND(" ", $G104&amp;" ") - 1), 'Reference Data'!$A$2:$E$14, 3, FALSE), "")</f>
        <v/>
      </c>
      <c r="K104" s="3">
        <f>IFERROR(VLOOKUP(LEFT($G104, FIND(" ", $G104&amp;" ") - 1), 'Reference Data'!$A$2:$E$14, 4, FALSE), "")</f>
        <v/>
      </c>
      <c r="L104" s="3">
        <f>IFERROR(VLOOKUP(LEFT($G104, FIND(" ", $G104&amp;" ") - 1), 'Reference Data'!$A$2:$E$14, 5, FALSE), "")</f>
        <v/>
      </c>
      <c r="M104" s="3">
        <f>IFERROR(VLOOKUP(LEFT($G104, FIND(" ", $G104&amp;" ") - 1), 'Reference Data'!$A$2:$E$14, 2, FALSE), "")</f>
        <v/>
      </c>
    </row>
    <row r="105" ht="20" customHeight="1">
      <c r="G105" s="1" t="inlineStr">
        <is>
          <t>Paint</t>
        </is>
      </c>
      <c r="J105" s="3" t="n"/>
      <c r="K105" s="3" t="n"/>
      <c r="L105" s="3" t="n"/>
      <c r="M105" s="3" t="n"/>
    </row>
    <row r="106" ht="20" customHeight="1">
      <c r="G106" s="3" t="inlineStr">
        <is>
          <t>DP</t>
        </is>
      </c>
      <c r="H106" s="3" t="inlineStr">
        <is>
          <t>320 CM²</t>
        </is>
      </c>
      <c r="J106" s="3">
        <f>IFERROR(VLOOKUP(LEFT($G106, FIND(" ", $G106&amp;" ") - 1), 'Reference Data'!$A$2:$E$14, 3, FALSE), "")</f>
        <v/>
      </c>
      <c r="K106" s="3">
        <f>IFERROR(VLOOKUP(LEFT($G106, FIND(" ", $G106&amp;" ") - 1), 'Reference Data'!$A$2:$E$14, 4, FALSE), "")</f>
        <v/>
      </c>
      <c r="L106" s="3">
        <f>IFERROR(VLOOKUP(LEFT($G106, FIND(" ", $G106&amp;" ") - 1), 'Reference Data'!$A$2:$E$14, 5, FALSE), "")</f>
        <v/>
      </c>
      <c r="M106" s="3">
        <f>IFERROR(VLOOKUP(LEFT($G106, FIND(" ", $G106&amp;" ") - 1), 'Reference Data'!$A$2:$E$14, 2, FALSE), "")</f>
        <v/>
      </c>
    </row>
    <row r="107" ht="20" customHeight="1">
      <c r="G107" s="1" t="inlineStr">
        <is>
          <t>Gasket</t>
        </is>
      </c>
      <c r="J107" s="3" t="n"/>
      <c r="K107" s="3" t="n"/>
      <c r="L107" s="3" t="n"/>
      <c r="M107" s="3" t="n"/>
    </row>
    <row r="108" ht="20" customHeight="1">
      <c r="G108" s="3" t="inlineStr"/>
      <c r="H108" s="3" t="inlineStr"/>
      <c r="J108" s="3">
        <f>IFERROR(VLOOKUP(LEFT($G108, FIND(" ", $G108&amp;" ") - 1), 'Reference Data'!$A$2:$E$14, 3, FALSE), "")</f>
        <v/>
      </c>
      <c r="K108" s="3">
        <f>IFERROR(VLOOKUP(LEFT($G108, FIND(" ", $G108&amp;" ") - 1), 'Reference Data'!$A$2:$E$14, 4, FALSE), "")</f>
        <v/>
      </c>
      <c r="L108" s="3">
        <f>IFERROR(VLOOKUP(LEFT($G108, FIND(" ", $G108&amp;" ") - 1), 'Reference Data'!$A$2:$E$14, 5, FALSE), "")</f>
        <v/>
      </c>
      <c r="M108" s="3">
        <f>IFERROR(VLOOKUP(LEFT($G108, FIND(" ", $G108&amp;" ") - 1), 'Reference Data'!$A$2:$E$14, 2, FALSE), "")</f>
        <v/>
      </c>
    </row>
    <row r="109" ht="20" customHeight="1">
      <c r="A109" s="3" t="inlineStr">
        <is>
          <t>RUFINO ZUÑIGA JR</t>
        </is>
      </c>
      <c r="B109" s="3" t="inlineStr">
        <is>
          <t>JULY 27, 2026</t>
        </is>
      </c>
      <c r="C109" s="3" t="inlineStr">
        <is>
          <t>BACK</t>
        </is>
      </c>
      <c r="D109" s="3" t="inlineStr">
        <is>
          <t>8</t>
        </is>
      </c>
      <c r="E109" s="3" t="inlineStr">
        <is>
          <t>16</t>
        </is>
      </c>
      <c r="F109" s="3" t="inlineStr">
        <is>
          <t>T2</t>
        </is>
      </c>
      <c r="G109" s="1" t="inlineStr">
        <is>
          <t>Sealant</t>
        </is>
      </c>
      <c r="I109" s="3" t="n"/>
      <c r="J109" s="3" t="n"/>
      <c r="K109" s="3" t="n"/>
      <c r="L109" s="3" t="n"/>
      <c r="M109" s="3" t="n"/>
    </row>
    <row r="110" ht="20" customHeight="1">
      <c r="G110" s="3" t="inlineStr">
        <is>
          <t>DS C-C</t>
        </is>
      </c>
      <c r="H110" s="3" t="inlineStr">
        <is>
          <t>320 CM</t>
        </is>
      </c>
      <c r="J110" s="3">
        <f>IFERROR(VLOOKUP(LEFT($G110, FIND(" ", $G110&amp;" ") - 1), 'Reference Data'!$A$2:$E$14, 3, FALSE), "")</f>
        <v/>
      </c>
      <c r="K110" s="3">
        <f>IFERROR(VLOOKUP(LEFT($G110, FIND(" ", $G110&amp;" ") - 1), 'Reference Data'!$A$2:$E$14, 4, FALSE), "")</f>
        <v/>
      </c>
      <c r="L110" s="3">
        <f>IFERROR(VLOOKUP(LEFT($G110, FIND(" ", $G110&amp;" ") - 1), 'Reference Data'!$A$2:$E$14, 5, FALSE), "")</f>
        <v/>
      </c>
      <c r="M110" s="3">
        <f>IFERROR(VLOOKUP(LEFT($G110, FIND(" ", $G110&amp;" ") - 1), 'Reference Data'!$A$2:$E$14, 2, FALSE), "")</f>
        <v/>
      </c>
    </row>
    <row r="111" ht="20" customHeight="1">
      <c r="G111" s="1" t="inlineStr">
        <is>
          <t>Concrete</t>
        </is>
      </c>
      <c r="J111" s="3" t="n"/>
      <c r="K111" s="3" t="n"/>
      <c r="L111" s="3" t="n"/>
      <c r="M111" s="3" t="n"/>
    </row>
    <row r="112" ht="20" customHeight="1">
      <c r="G112" s="3" t="inlineStr"/>
      <c r="H112" s="3" t="inlineStr"/>
      <c r="J112" s="3">
        <f>IFERROR(VLOOKUP(LEFT($G112, FIND(" ", $G112&amp;" ") - 1), 'Reference Data'!$A$2:$E$14, 3, FALSE), "")</f>
        <v/>
      </c>
      <c r="K112" s="3">
        <f>IFERROR(VLOOKUP(LEFT($G112, FIND(" ", $G112&amp;" ") - 1), 'Reference Data'!$A$2:$E$14, 4, FALSE), "")</f>
        <v/>
      </c>
      <c r="L112" s="3">
        <f>IFERROR(VLOOKUP(LEFT($G112, FIND(" ", $G112&amp;" ") - 1), 'Reference Data'!$A$2:$E$14, 5, FALSE), "")</f>
        <v/>
      </c>
      <c r="M112" s="3">
        <f>IFERROR(VLOOKUP(LEFT($G112, FIND(" ", $G112&amp;" ") - 1), 'Reference Data'!$A$2:$E$14, 2, FALSE), "")</f>
        <v/>
      </c>
    </row>
    <row r="113" ht="20" customHeight="1">
      <c r="G113" s="1" t="inlineStr">
        <is>
          <t>Paint</t>
        </is>
      </c>
      <c r="J113" s="3" t="n"/>
      <c r="K113" s="3" t="n"/>
      <c r="L113" s="3" t="n"/>
      <c r="M113" s="3" t="n"/>
    </row>
    <row r="114" ht="20" customHeight="1">
      <c r="G114" s="3" t="inlineStr">
        <is>
          <t>DP</t>
        </is>
      </c>
      <c r="H114" s="3" t="inlineStr">
        <is>
          <t>320 CM²</t>
        </is>
      </c>
      <c r="J114" s="3">
        <f>IFERROR(VLOOKUP(LEFT($G114, FIND(" ", $G114&amp;" ") - 1), 'Reference Data'!$A$2:$E$14, 3, FALSE), "")</f>
        <v/>
      </c>
      <c r="K114" s="3">
        <f>IFERROR(VLOOKUP(LEFT($G114, FIND(" ", $G114&amp;" ") - 1), 'Reference Data'!$A$2:$E$14, 4, FALSE), "")</f>
        <v/>
      </c>
      <c r="L114" s="3">
        <f>IFERROR(VLOOKUP(LEFT($G114, FIND(" ", $G114&amp;" ") - 1), 'Reference Data'!$A$2:$E$14, 5, FALSE), "")</f>
        <v/>
      </c>
      <c r="M114" s="3">
        <f>IFERROR(VLOOKUP(LEFT($G114, FIND(" ", $G114&amp;" ") - 1), 'Reference Data'!$A$2:$E$14, 2, FALSE), "")</f>
        <v/>
      </c>
    </row>
    <row r="115" ht="20" customHeight="1">
      <c r="G115" s="1" t="inlineStr">
        <is>
          <t>Gasket</t>
        </is>
      </c>
      <c r="J115" s="3" t="n"/>
      <c r="K115" s="3" t="n"/>
      <c r="L115" s="3" t="n"/>
      <c r="M115" s="3" t="n"/>
    </row>
    <row r="116" ht="20" customHeight="1">
      <c r="G116" s="3" t="inlineStr"/>
      <c r="H116" s="3" t="inlineStr"/>
      <c r="J116" s="3">
        <f>IFERROR(VLOOKUP(LEFT($G116, FIND(" ", $G116&amp;" ") - 1), 'Reference Data'!$A$2:$E$14, 3, FALSE), "")</f>
        <v/>
      </c>
      <c r="K116" s="3">
        <f>IFERROR(VLOOKUP(LEFT($G116, FIND(" ", $G116&amp;" ") - 1), 'Reference Data'!$A$2:$E$14, 4, FALSE), "")</f>
        <v/>
      </c>
      <c r="L116" s="3">
        <f>IFERROR(VLOOKUP(LEFT($G116, FIND(" ", $G116&amp;" ") - 1), 'Reference Data'!$A$2:$E$14, 5, FALSE), "")</f>
        <v/>
      </c>
      <c r="M116" s="3">
        <f>IFERROR(VLOOKUP(LEFT($G116, FIND(" ", $G116&amp;" ") - 1), 'Reference Data'!$A$2:$E$14, 2, FALSE), "")</f>
        <v/>
      </c>
    </row>
    <row r="117" ht="20" customHeight="1">
      <c r="A117" s="3" t="inlineStr">
        <is>
          <t>RUFINO ZUÑIGA JR</t>
        </is>
      </c>
      <c r="B117" s="3" t="inlineStr">
        <is>
          <t>JULY 27, 2026</t>
        </is>
      </c>
      <c r="C117" s="3" t="inlineStr">
        <is>
          <t>BACK</t>
        </is>
      </c>
      <c r="D117" s="3" t="inlineStr">
        <is>
          <t>8</t>
        </is>
      </c>
      <c r="E117" s="3" t="inlineStr">
        <is>
          <t>9</t>
        </is>
      </c>
      <c r="F117" s="3" t="inlineStr">
        <is>
          <t>T2</t>
        </is>
      </c>
      <c r="G117" s="1" t="inlineStr">
        <is>
          <t>Sealant</t>
        </is>
      </c>
      <c r="I117" s="3" t="n"/>
      <c r="J117" s="3" t="n"/>
      <c r="K117" s="3" t="n"/>
      <c r="L117" s="3" t="n"/>
      <c r="M117" s="3" t="n"/>
    </row>
    <row r="118" ht="20" customHeight="1">
      <c r="G118" s="3" t="inlineStr">
        <is>
          <t>DS C-C</t>
        </is>
      </c>
      <c r="H118" s="3" t="inlineStr">
        <is>
          <t>320 CM</t>
        </is>
      </c>
      <c r="J118" s="3">
        <f>IFERROR(VLOOKUP(LEFT($G118, FIND(" ", $G118&amp;" ") - 1), 'Reference Data'!$A$2:$E$14, 3, FALSE), "")</f>
        <v/>
      </c>
      <c r="K118" s="3">
        <f>IFERROR(VLOOKUP(LEFT($G118, FIND(" ", $G118&amp;" ") - 1), 'Reference Data'!$A$2:$E$14, 4, FALSE), "")</f>
        <v/>
      </c>
      <c r="L118" s="3">
        <f>IFERROR(VLOOKUP(LEFT($G118, FIND(" ", $G118&amp;" ") - 1), 'Reference Data'!$A$2:$E$14, 5, FALSE), "")</f>
        <v/>
      </c>
      <c r="M118" s="3">
        <f>IFERROR(VLOOKUP(LEFT($G118, FIND(" ", $G118&amp;" ") - 1), 'Reference Data'!$A$2:$E$14, 2, FALSE), "")</f>
        <v/>
      </c>
    </row>
    <row r="119" ht="20" customHeight="1">
      <c r="G119" s="1" t="inlineStr">
        <is>
          <t>Concrete</t>
        </is>
      </c>
      <c r="J119" s="3" t="n"/>
      <c r="K119" s="3" t="n"/>
      <c r="L119" s="3" t="n"/>
      <c r="M119" s="3" t="n"/>
    </row>
    <row r="120" ht="20" customHeight="1">
      <c r="G120" s="3" t="inlineStr"/>
      <c r="H120" s="3" t="inlineStr"/>
      <c r="J120" s="3">
        <f>IFERROR(VLOOKUP(LEFT($G120, FIND(" ", $G120&amp;" ") - 1), 'Reference Data'!$A$2:$E$14, 3, FALSE), "")</f>
        <v/>
      </c>
      <c r="K120" s="3">
        <f>IFERROR(VLOOKUP(LEFT($G120, FIND(" ", $G120&amp;" ") - 1), 'Reference Data'!$A$2:$E$14, 4, FALSE), "")</f>
        <v/>
      </c>
      <c r="L120" s="3">
        <f>IFERROR(VLOOKUP(LEFT($G120, FIND(" ", $G120&amp;" ") - 1), 'Reference Data'!$A$2:$E$14, 5, FALSE), "")</f>
        <v/>
      </c>
      <c r="M120" s="3">
        <f>IFERROR(VLOOKUP(LEFT($G120, FIND(" ", $G120&amp;" ") - 1), 'Reference Data'!$A$2:$E$14, 2, FALSE), "")</f>
        <v/>
      </c>
    </row>
    <row r="121" ht="20" customHeight="1">
      <c r="G121" s="1" t="inlineStr">
        <is>
          <t>Paint</t>
        </is>
      </c>
      <c r="J121" s="3" t="n"/>
      <c r="K121" s="3" t="n"/>
      <c r="L121" s="3" t="n"/>
      <c r="M121" s="3" t="n"/>
    </row>
    <row r="122" ht="20" customHeight="1">
      <c r="G122" s="3" t="inlineStr"/>
      <c r="H122" s="3" t="inlineStr"/>
      <c r="J122" s="3">
        <f>IFERROR(VLOOKUP(LEFT($G122, FIND(" ", $G122&amp;" ") - 1), 'Reference Data'!$A$2:$E$14, 3, FALSE), "")</f>
        <v/>
      </c>
      <c r="K122" s="3">
        <f>IFERROR(VLOOKUP(LEFT($G122, FIND(" ", $G122&amp;" ") - 1), 'Reference Data'!$A$2:$E$14, 4, FALSE), "")</f>
        <v/>
      </c>
      <c r="L122" s="3">
        <f>IFERROR(VLOOKUP(LEFT($G122, FIND(" ", $G122&amp;" ") - 1), 'Reference Data'!$A$2:$E$14, 5, FALSE), "")</f>
        <v/>
      </c>
      <c r="M122" s="3">
        <f>IFERROR(VLOOKUP(LEFT($G122, FIND(" ", $G122&amp;" ") - 1), 'Reference Data'!$A$2:$E$14, 2, FALSE), "")</f>
        <v/>
      </c>
    </row>
    <row r="123" ht="20" customHeight="1">
      <c r="G123" s="1" t="inlineStr">
        <is>
          <t>Gasket</t>
        </is>
      </c>
      <c r="J123" s="3" t="n"/>
      <c r="K123" s="3" t="n"/>
      <c r="L123" s="3" t="n"/>
      <c r="M123" s="3" t="n"/>
    </row>
    <row r="124" ht="20" customHeight="1">
      <c r="G124" s="3" t="inlineStr"/>
      <c r="H124" s="3" t="inlineStr"/>
      <c r="J124" s="3">
        <f>IFERROR(VLOOKUP(LEFT($G124, FIND(" ", $G124&amp;" ") - 1), 'Reference Data'!$A$2:$E$14, 3, FALSE), "")</f>
        <v/>
      </c>
      <c r="K124" s="3">
        <f>IFERROR(VLOOKUP(LEFT($G124, FIND(" ", $G124&amp;" ") - 1), 'Reference Data'!$A$2:$E$14, 4, FALSE), "")</f>
        <v/>
      </c>
      <c r="L124" s="3">
        <f>IFERROR(VLOOKUP(LEFT($G124, FIND(" ", $G124&amp;" ") - 1), 'Reference Data'!$A$2:$E$14, 5, FALSE), "")</f>
        <v/>
      </c>
      <c r="M124" s="3">
        <f>IFERROR(VLOOKUP(LEFT($G124, FIND(" ", $G124&amp;" ") - 1), 'Reference Data'!$A$2:$E$14, 2, FALSE), "")</f>
        <v/>
      </c>
    </row>
    <row r="125" ht="20" customHeight="1">
      <c r="A125" s="3" t="inlineStr">
        <is>
          <t>RUFINO ZUÑIGA JR</t>
        </is>
      </c>
      <c r="B125" s="3" t="inlineStr">
        <is>
          <t>JULY 27, 2026</t>
        </is>
      </c>
      <c r="C125" s="3" t="inlineStr">
        <is>
          <t>BACK</t>
        </is>
      </c>
      <c r="D125" s="3" t="inlineStr">
        <is>
          <t>8</t>
        </is>
      </c>
      <c r="E125" s="3" t="inlineStr">
        <is>
          <t>RO</t>
        </is>
      </c>
      <c r="F125" s="3" t="inlineStr">
        <is>
          <t>T2</t>
        </is>
      </c>
      <c r="G125" s="1" t="inlineStr">
        <is>
          <t>Sealant</t>
        </is>
      </c>
      <c r="H125" s="3" t="n"/>
      <c r="I125" s="3" t="n"/>
      <c r="J125" s="3" t="n"/>
      <c r="K125" s="3" t="n"/>
      <c r="L125" s="3" t="n"/>
      <c r="M125" s="3" t="n"/>
    </row>
    <row r="126" ht="20" customHeight="1">
      <c r="A126" s="3" t="n"/>
      <c r="B126" s="3" t="n"/>
      <c r="C126" s="3" t="n"/>
      <c r="D126" s="3" t="n"/>
      <c r="E126" s="3" t="n"/>
      <c r="F126" s="3" t="n"/>
      <c r="G126" s="3" t="inlineStr">
        <is>
          <t>DS C-C</t>
        </is>
      </c>
      <c r="H126" s="3" t="inlineStr">
        <is>
          <t>350 CM</t>
        </is>
      </c>
      <c r="I126" s="3" t="n"/>
      <c r="J126" s="3">
        <f>IFERROR(VLOOKUP(LEFT($G126, FIND(" ", $G126&amp;" ") - 1), 'Reference Data'!$A$2:$E$14, 3, FALSE), "")</f>
        <v/>
      </c>
      <c r="K126" s="3">
        <f>IFERROR(VLOOKUP(LEFT($G126, FIND(" ", $G126&amp;" ") - 1), 'Reference Data'!$A$2:$E$14, 4, FALSE), "")</f>
        <v/>
      </c>
      <c r="L126" s="3">
        <f>IFERROR(VLOOKUP(LEFT($G126, FIND(" ", $G126&amp;" ") - 1), 'Reference Data'!$A$2:$E$14, 5, FALSE), "")</f>
        <v/>
      </c>
      <c r="M126" s="3">
        <f>IFERROR(VLOOKUP(LEFT($G126, FIND(" ", $G126&amp;" ") - 1), 'Reference Data'!$A$2:$E$14, 2, FALSE), "")</f>
        <v/>
      </c>
    </row>
    <row r="127" ht="20" customHeight="1">
      <c r="A127" s="3" t="n"/>
      <c r="B127" s="3" t="n"/>
      <c r="C127" s="3" t="n"/>
      <c r="D127" s="3" t="n"/>
      <c r="E127" s="3" t="n"/>
      <c r="F127" s="3" t="n"/>
      <c r="G127" s="1" t="inlineStr">
        <is>
          <t>Concrete</t>
        </is>
      </c>
      <c r="H127" s="3" t="n"/>
      <c r="I127" s="3" t="n"/>
      <c r="J127" s="3" t="n"/>
      <c r="K127" s="3" t="n"/>
      <c r="L127" s="3" t="n"/>
      <c r="M127" s="3" t="n"/>
    </row>
    <row r="128" ht="20" customHeight="1">
      <c r="A128" s="3" t="n"/>
      <c r="B128" s="3" t="n"/>
      <c r="C128" s="3" t="n"/>
      <c r="D128" s="3" t="n"/>
      <c r="E128" s="3" t="n"/>
      <c r="F128" s="3" t="n"/>
      <c r="G128" s="3" t="inlineStr"/>
      <c r="H128" s="3" t="inlineStr"/>
      <c r="I128" s="3" t="n"/>
      <c r="J128" s="3">
        <f>IFERROR(VLOOKUP(LEFT($G128, FIND(" ", $G128&amp;" ") - 1), 'Reference Data'!$A$2:$E$14, 3, FALSE), "")</f>
        <v/>
      </c>
      <c r="K128" s="3">
        <f>IFERROR(VLOOKUP(LEFT($G128, FIND(" ", $G128&amp;" ") - 1), 'Reference Data'!$A$2:$E$14, 4, FALSE), "")</f>
        <v/>
      </c>
      <c r="L128" s="3">
        <f>IFERROR(VLOOKUP(LEFT($G128, FIND(" ", $G128&amp;" ") - 1), 'Reference Data'!$A$2:$E$14, 5, FALSE), "")</f>
        <v/>
      </c>
      <c r="M128" s="3">
        <f>IFERROR(VLOOKUP(LEFT($G128, FIND(" ", $G128&amp;" ") - 1), 'Reference Data'!$A$2:$E$14, 2, FALSE), "")</f>
        <v/>
      </c>
    </row>
    <row r="129" ht="20" customHeight="1">
      <c r="A129" s="3" t="n"/>
      <c r="B129" s="3" t="n"/>
      <c r="C129" s="3" t="n"/>
      <c r="D129" s="3" t="n"/>
      <c r="E129" s="3" t="n"/>
      <c r="F129" s="3" t="n"/>
      <c r="G129" s="1" t="inlineStr">
        <is>
          <t>Paint</t>
        </is>
      </c>
      <c r="H129" s="3" t="n"/>
      <c r="I129" s="3" t="n"/>
      <c r="J129" s="3" t="n"/>
      <c r="K129" s="3" t="n"/>
      <c r="L129" s="3" t="n"/>
      <c r="M129" s="3" t="n"/>
    </row>
    <row r="130" ht="20" customHeight="1">
      <c r="A130" s="3" t="n"/>
      <c r="B130" s="3" t="n"/>
      <c r="C130" s="3" t="n"/>
      <c r="D130" s="3" t="n"/>
      <c r="E130" s="3" t="n"/>
      <c r="F130" s="3" t="n"/>
      <c r="G130" s="3" t="inlineStr">
        <is>
          <t>BP</t>
        </is>
      </c>
      <c r="H130" s="3" t="inlineStr">
        <is>
          <t>50 CM²</t>
        </is>
      </c>
      <c r="I130" s="3" t="n"/>
      <c r="J130" s="3">
        <f>IFERROR(VLOOKUP(LEFT($G130, FIND(" ", $G130&amp;" ") - 1), 'Reference Data'!$A$2:$E$14, 3, FALSE), "")</f>
        <v/>
      </c>
      <c r="K130" s="3">
        <f>IFERROR(VLOOKUP(LEFT($G130, FIND(" ", $G130&amp;" ") - 1), 'Reference Data'!$A$2:$E$14, 4, FALSE), "")</f>
        <v/>
      </c>
      <c r="L130" s="3">
        <f>IFERROR(VLOOKUP(LEFT($G130, FIND(" ", $G130&amp;" ") - 1), 'Reference Data'!$A$2:$E$14, 5, FALSE), "")</f>
        <v/>
      </c>
      <c r="M130" s="3">
        <f>IFERROR(VLOOKUP(LEFT($G130, FIND(" ", $G130&amp;" ") - 1), 'Reference Data'!$A$2:$E$14, 2, FALSE), "")</f>
        <v/>
      </c>
    </row>
    <row r="131" ht="20" customHeight="1">
      <c r="A131" s="3" t="n"/>
      <c r="B131" s="3" t="n"/>
      <c r="C131" s="3" t="n"/>
      <c r="D131" s="3" t="n"/>
      <c r="E131" s="3" t="n"/>
      <c r="F131" s="3" t="n"/>
      <c r="G131" s="3" t="inlineStr">
        <is>
          <t>BP</t>
        </is>
      </c>
      <c r="H131" s="3" t="inlineStr">
        <is>
          <t>200 CM²</t>
        </is>
      </c>
      <c r="I131" s="3" t="n"/>
      <c r="J131" s="3">
        <f>IFERROR(VLOOKUP(LEFT($G131, FIND(" ", $G131&amp;" ") - 1), 'Reference Data'!$A$2:$E$14, 3, FALSE), "")</f>
        <v/>
      </c>
      <c r="K131" s="3">
        <f>IFERROR(VLOOKUP(LEFT($G131, FIND(" ", $G131&amp;" ") - 1), 'Reference Data'!$A$2:$E$14, 4, FALSE), "")</f>
        <v/>
      </c>
      <c r="L131" s="3">
        <f>IFERROR(VLOOKUP(LEFT($G131, FIND(" ", $G131&amp;" ") - 1), 'Reference Data'!$A$2:$E$14, 5, FALSE), "")</f>
        <v/>
      </c>
      <c r="M131" s="3">
        <f>IFERROR(VLOOKUP(LEFT($G131, FIND(" ", $G131&amp;" ") - 1), 'Reference Data'!$A$2:$E$14, 2, FALSE), "")</f>
        <v/>
      </c>
    </row>
    <row r="132" ht="20" customHeight="1">
      <c r="A132" s="3" t="n"/>
      <c r="B132" s="3" t="n"/>
      <c r="C132" s="3" t="n"/>
      <c r="D132" s="3" t="n"/>
      <c r="E132" s="3" t="n"/>
      <c r="F132" s="3" t="n"/>
      <c r="G132" s="1" t="inlineStr">
        <is>
          <t>Gasket</t>
        </is>
      </c>
      <c r="H132" s="3" t="n"/>
      <c r="I132" s="3" t="n"/>
      <c r="J132" s="3" t="n"/>
      <c r="K132" s="3" t="n"/>
      <c r="L132" s="3" t="n"/>
      <c r="M132" s="3" t="n"/>
    </row>
    <row r="133" ht="20" customHeight="1">
      <c r="A133" s="3" t="n"/>
      <c r="B133" s="3" t="n"/>
      <c r="C133" s="3" t="n"/>
      <c r="D133" s="3" t="n"/>
      <c r="E133" s="3" t="n"/>
      <c r="F133" s="3" t="n"/>
      <c r="G133" s="3" t="inlineStr"/>
      <c r="H133" s="3" t="inlineStr"/>
      <c r="I133" s="3" t="n"/>
      <c r="J133" s="3">
        <f>IFERROR(VLOOKUP(LEFT($G133, FIND(" ", $G133&amp;" ") - 1), 'Reference Data'!$A$2:$E$14, 3, FALSE), "")</f>
        <v/>
      </c>
      <c r="K133" s="3">
        <f>IFERROR(VLOOKUP(LEFT($G133, FIND(" ", $G133&amp;" ") - 1), 'Reference Data'!$A$2:$E$14, 4, FALSE), "")</f>
        <v/>
      </c>
      <c r="L133" s="3">
        <f>IFERROR(VLOOKUP(LEFT($G133, FIND(" ", $G133&amp;" ") - 1), 'Reference Data'!$A$2:$E$14, 5, FALSE), "")</f>
        <v/>
      </c>
      <c r="M133" s="3">
        <f>IFERROR(VLOOKUP(LEFT($G133, FIND(" ", $G133&amp;" ") - 1), 'Reference Data'!$A$2:$E$14, 2, FALSE), "")</f>
        <v/>
      </c>
    </row>
  </sheetData>
  <mergeCells count="188">
    <mergeCell ref="G21:H21"/>
    <mergeCell ref="C53:C60"/>
    <mergeCell ref="G81:H81"/>
    <mergeCell ref="E53:E60"/>
    <mergeCell ref="I69:I76"/>
    <mergeCell ref="I109:I116"/>
    <mergeCell ref="G71:H71"/>
    <mergeCell ref="C1:C2"/>
    <mergeCell ref="G23:H23"/>
    <mergeCell ref="E1:E2"/>
    <mergeCell ref="E117:E124"/>
    <mergeCell ref="G97:H97"/>
    <mergeCell ref="A45:A52"/>
    <mergeCell ref="C3:C12"/>
    <mergeCell ref="C45:C52"/>
    <mergeCell ref="I61:I68"/>
    <mergeCell ref="C29:C36"/>
    <mergeCell ref="G57:H57"/>
    <mergeCell ref="B3:B12"/>
    <mergeCell ref="E29:E36"/>
    <mergeCell ref="B93:B100"/>
    <mergeCell ref="C125:C133"/>
    <mergeCell ref="E125:E133"/>
    <mergeCell ref="E13:E20"/>
    <mergeCell ref="D45:D52"/>
    <mergeCell ref="I37:I44"/>
    <mergeCell ref="D101:D108"/>
    <mergeCell ref="F45:F52"/>
    <mergeCell ref="F101:F108"/>
    <mergeCell ref="G121:H121"/>
    <mergeCell ref="A21:A28"/>
    <mergeCell ref="D13:D20"/>
    <mergeCell ref="C21:C28"/>
    <mergeCell ref="F109:F116"/>
    <mergeCell ref="B101:B108"/>
    <mergeCell ref="G123:H123"/>
    <mergeCell ref="B37:B44"/>
    <mergeCell ref="D93:D100"/>
    <mergeCell ref="D37:D44"/>
    <mergeCell ref="G113:H113"/>
    <mergeCell ref="B69:B76"/>
    <mergeCell ref="G91:H91"/>
    <mergeCell ref="G85:H85"/>
    <mergeCell ref="F37:F44"/>
    <mergeCell ref="G75:H75"/>
    <mergeCell ref="J1:J2"/>
    <mergeCell ref="G59:H59"/>
    <mergeCell ref="A93:A100"/>
    <mergeCell ref="G77:H77"/>
    <mergeCell ref="G117:H117"/>
    <mergeCell ref="C101:C108"/>
    <mergeCell ref="A77:A84"/>
    <mergeCell ref="G67:H67"/>
    <mergeCell ref="C77:C84"/>
    <mergeCell ref="A117:A124"/>
    <mergeCell ref="E3:E12"/>
    <mergeCell ref="G61:H61"/>
    <mergeCell ref="K1:K2"/>
    <mergeCell ref="M1:M2"/>
    <mergeCell ref="E93:E100"/>
    <mergeCell ref="I45:I52"/>
    <mergeCell ref="I101:I108"/>
    <mergeCell ref="G125:H125"/>
    <mergeCell ref="I77:I84"/>
    <mergeCell ref="A69:A76"/>
    <mergeCell ref="I85:I92"/>
    <mergeCell ref="C85:C92"/>
    <mergeCell ref="A125:A133"/>
    <mergeCell ref="G127:H127"/>
    <mergeCell ref="G49:H49"/>
    <mergeCell ref="E69:E76"/>
    <mergeCell ref="C109:C116"/>
    <mergeCell ref="G33:H33"/>
    <mergeCell ref="I21:I28"/>
    <mergeCell ref="G65:H65"/>
    <mergeCell ref="A37:A44"/>
    <mergeCell ref="F85:F92"/>
    <mergeCell ref="G35:H35"/>
    <mergeCell ref="B53:B60"/>
    <mergeCell ref="D53:D60"/>
    <mergeCell ref="C61:C68"/>
    <mergeCell ref="G129:H129"/>
    <mergeCell ref="E61:E68"/>
    <mergeCell ref="D3:D12"/>
    <mergeCell ref="G25:H25"/>
    <mergeCell ref="A29:A36"/>
    <mergeCell ref="G99:H99"/>
    <mergeCell ref="D1:D2"/>
    <mergeCell ref="F77:F84"/>
    <mergeCell ref="D117:D124"/>
    <mergeCell ref="F1:F2"/>
    <mergeCell ref="F117:F124"/>
    <mergeCell ref="A13:A20"/>
    <mergeCell ref="C13:C20"/>
    <mergeCell ref="B45:B52"/>
    <mergeCell ref="F61:F68"/>
    <mergeCell ref="F53:F60"/>
    <mergeCell ref="G115:H115"/>
    <mergeCell ref="G11:H11"/>
    <mergeCell ref="D29:D36"/>
    <mergeCell ref="F29:F36"/>
    <mergeCell ref="B109:B116"/>
    <mergeCell ref="D109:D116"/>
    <mergeCell ref="D125:D133"/>
    <mergeCell ref="F125:F133"/>
    <mergeCell ref="G39:H39"/>
    <mergeCell ref="G132:H132"/>
    <mergeCell ref="G101:H101"/>
    <mergeCell ref="B21:B28"/>
    <mergeCell ref="G103:H103"/>
    <mergeCell ref="D21:D28"/>
    <mergeCell ref="G37:H37"/>
    <mergeCell ref="G13:H13"/>
    <mergeCell ref="G69:H69"/>
    <mergeCell ref="C93:C100"/>
    <mergeCell ref="G87:H87"/>
    <mergeCell ref="F21:F28"/>
    <mergeCell ref="I53:I60"/>
    <mergeCell ref="G15:H15"/>
    <mergeCell ref="I3:I12"/>
    <mergeCell ref="G95:H95"/>
    <mergeCell ref="A3:A12"/>
    <mergeCell ref="G89:H89"/>
    <mergeCell ref="I1:I2"/>
    <mergeCell ref="A85:A92"/>
    <mergeCell ref="I117:I124"/>
    <mergeCell ref="G79:H79"/>
    <mergeCell ref="G73:H73"/>
    <mergeCell ref="F13:F20"/>
    <mergeCell ref="E45:E52"/>
    <mergeCell ref="G51:H51"/>
    <mergeCell ref="E101:E108"/>
    <mergeCell ref="E77:E84"/>
    <mergeCell ref="G1:H1"/>
    <mergeCell ref="G63:H63"/>
    <mergeCell ref="G41:H41"/>
    <mergeCell ref="I29:I36"/>
    <mergeCell ref="E109:E116"/>
    <mergeCell ref="F93:F100"/>
    <mergeCell ref="I125:I133"/>
    <mergeCell ref="I13:I20"/>
    <mergeCell ref="C37:C44"/>
    <mergeCell ref="G43:H43"/>
    <mergeCell ref="E37:E44"/>
    <mergeCell ref="G105:H105"/>
    <mergeCell ref="C69:C76"/>
    <mergeCell ref="G27:H27"/>
    <mergeCell ref="E21:E28"/>
    <mergeCell ref="B85:B92"/>
    <mergeCell ref="G107:H107"/>
    <mergeCell ref="G8:H8"/>
    <mergeCell ref="D85:D92"/>
    <mergeCell ref="G17:H17"/>
    <mergeCell ref="D69:D76"/>
    <mergeCell ref="A61:A68"/>
    <mergeCell ref="F69:F76"/>
    <mergeCell ref="G19:H19"/>
    <mergeCell ref="B77:B84"/>
    <mergeCell ref="G53:H53"/>
    <mergeCell ref="B1:B2"/>
    <mergeCell ref="D77:D84"/>
    <mergeCell ref="G93:H93"/>
    <mergeCell ref="B117:B124"/>
    <mergeCell ref="F3:F12"/>
    <mergeCell ref="L1:L2"/>
    <mergeCell ref="G3:H3"/>
    <mergeCell ref="B61:B68"/>
    <mergeCell ref="G83:H83"/>
    <mergeCell ref="D61:D68"/>
    <mergeCell ref="G5:H5"/>
    <mergeCell ref="B29:B36"/>
    <mergeCell ref="C117:C124"/>
    <mergeCell ref="G45:H45"/>
    <mergeCell ref="B125:B133"/>
    <mergeCell ref="I93:I100"/>
    <mergeCell ref="B13:B20"/>
    <mergeCell ref="G55:H55"/>
    <mergeCell ref="G29:H29"/>
    <mergeCell ref="A101:A108"/>
    <mergeCell ref="G109:H109"/>
    <mergeCell ref="G47:H47"/>
    <mergeCell ref="A53:A60"/>
    <mergeCell ref="A109:A116"/>
    <mergeCell ref="G119:H119"/>
    <mergeCell ref="G31:H31"/>
    <mergeCell ref="E85:E92"/>
    <mergeCell ref="G111:H111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24" customWidth="1" min="3" max="3"/>
    <col width="45" customWidth="1" min="4" max="4"/>
    <col width="40" customWidth="1" min="5" max="5"/>
  </cols>
  <sheetData>
    <row r="1" ht="28" customHeight="1">
      <c r="A1" s="4" t="inlineStr">
        <is>
          <t>Defect Code</t>
        </is>
      </c>
      <c r="B1" s="4" t="inlineStr">
        <is>
          <t>Defect Type</t>
        </is>
      </c>
      <c r="C1" s="4" t="inlineStr">
        <is>
          <t>Likely Cause(s)</t>
        </is>
      </c>
      <c r="D1" s="4" t="inlineStr">
        <is>
          <t>Justification</t>
        </is>
      </c>
      <c r="E1" s="4" t="inlineStr">
        <is>
          <t>Recommended Repair</t>
        </is>
      </c>
    </row>
    <row r="2">
      <c r="A2" s="5" t="inlineStr">
        <is>
          <t>CC-</t>
        </is>
      </c>
      <c r="B2" s="5" t="inlineStr">
        <is>
          <t>Minor Concrete Crack</t>
        </is>
      </c>
      <c r="C2" s="5" t="inlineStr">
        <is>
          <t>Act of God or Wear and Tear</t>
        </is>
      </c>
      <c r="D2" s="5" t="inlineStr">
        <is>
          <t>Typically form due to drying shrinkage or building movement. Can be exacerbated by environmental stress or thermal cycling. Occurences beyond human control</t>
        </is>
      </c>
      <c r="E2" s="5" t="inlineStr">
        <is>
          <t>Apply epoxy mortar.</t>
        </is>
      </c>
    </row>
    <row r="3">
      <c r="A3" s="5" t="inlineStr">
        <is>
          <t>C-</t>
        </is>
      </c>
      <c r="B3" s="5" t="inlineStr">
        <is>
          <t>Minor Concrete Crack</t>
        </is>
      </c>
      <c r="C3" s="5" t="inlineStr">
        <is>
          <t>Act of God or Wear and Tear</t>
        </is>
      </c>
      <c r="D3" s="5" t="inlineStr">
        <is>
          <t>Typically form due to drying shrinkage or building movement. Can be exacerbated by environmental stress or thermal cycling. Occurences beyond human control</t>
        </is>
      </c>
      <c r="E3" s="5" t="inlineStr">
        <is>
          <t>Apply epoxy mortar.</t>
        </is>
      </c>
    </row>
    <row r="4">
      <c r="A4" s="5" t="inlineStr">
        <is>
          <t>CC+</t>
        </is>
      </c>
      <c r="B4" s="5" t="inlineStr">
        <is>
          <t>Major Concrete Crack</t>
        </is>
      </c>
      <c r="C4" s="5" t="inlineStr">
        <is>
          <t>Act of God or Wear and Tear</t>
        </is>
      </c>
      <c r="D4" s="5" t="inlineStr">
        <is>
          <t>Often indicate structural stress or abnormal movement; may also reflect long-term degradation in structural load paths. Soil movements blow causing structure movements.</t>
        </is>
      </c>
      <c r="E4" s="5" t="inlineStr">
        <is>
          <t>Perform epoxy injection.</t>
        </is>
      </c>
    </row>
    <row r="5">
      <c r="A5" s="5" t="inlineStr">
        <is>
          <t>C+</t>
        </is>
      </c>
      <c r="B5" s="5" t="inlineStr">
        <is>
          <t>Major Concrete Crack</t>
        </is>
      </c>
      <c r="C5" s="5" t="inlineStr">
        <is>
          <t>Act of God or Wear and Tear</t>
        </is>
      </c>
      <c r="D5" s="5" t="inlineStr">
        <is>
          <t>Often indicate structural stress or abnormal movement; may also reflect long-term degradation in structural load paths. Soil movements blow causing structure movements.</t>
        </is>
      </c>
      <c r="E5" s="5" t="inlineStr">
        <is>
          <t>Perform epoxy injection.</t>
        </is>
      </c>
    </row>
    <row r="6">
      <c r="A6" s="5" t="inlineStr">
        <is>
          <t>BH</t>
        </is>
      </c>
      <c r="B6" s="5" t="inlineStr">
        <is>
          <t>Dented Surface or Bugholes</t>
        </is>
      </c>
      <c r="C6" s="5" t="inlineStr">
        <is>
          <t>Workmanship</t>
        </is>
      </c>
      <c r="D6" s="5" t="inlineStr">
        <is>
          <t>Result from improper concrete casting, lack of consolidation, or poor formwork. Appear early and are usually non-structural.</t>
        </is>
      </c>
      <c r="E6" s="5" t="inlineStr">
        <is>
          <t>Apply repair mortar with concrete epoxy (A&amp;B). (Repainting upon building admin decision)</t>
        </is>
      </c>
    </row>
    <row r="7">
      <c r="A7" s="5" t="inlineStr">
        <is>
          <t>DP</t>
        </is>
      </c>
      <c r="B7" s="5" t="inlineStr">
        <is>
          <t>Discolored Paint</t>
        </is>
      </c>
      <c r="C7" s="5" t="inlineStr">
        <is>
          <t>Wear and Tear</t>
        </is>
      </c>
      <c r="D7" s="5" t="inlineStr">
        <is>
          <t>Fades or stains over time due to sun exposure, moisture, and pollution. A predictable result of long-term exposure.</t>
        </is>
      </c>
      <c r="E7" s="5" t="inlineStr">
        <is>
          <t>Retouch paint; ensure proper surface prep.</t>
        </is>
      </c>
    </row>
    <row r="8">
      <c r="A8" s="5" t="inlineStr">
        <is>
          <t>FP</t>
        </is>
      </c>
      <c r="B8" s="5" t="inlineStr">
        <is>
          <t>Flaky Paint</t>
        </is>
      </c>
      <c r="C8" s="5" t="inlineStr">
        <is>
          <t>Wear and Tear</t>
        </is>
      </c>
      <c r="D8" s="5" t="inlineStr">
        <is>
          <t>Lapsed warranty; degrades due to age, UV, and temperature shifts. Failures are common after several years of exposure.</t>
        </is>
      </c>
      <c r="E8" s="5" t="inlineStr">
        <is>
          <t>Remove loose paint, prime, and repaint.</t>
        </is>
      </c>
    </row>
    <row r="9">
      <c r="A9" s="5" t="inlineStr">
        <is>
          <t>BP</t>
        </is>
      </c>
      <c r="B9" s="5" t="inlineStr">
        <is>
          <t>Bubbly Paint</t>
        </is>
      </c>
      <c r="C9" s="5" t="inlineStr">
        <is>
          <t>Wear and Tear</t>
        </is>
      </c>
      <c r="D9" s="5" t="inlineStr">
        <is>
          <t>Lapsed warranty; degrades due to age, UV, and temperature shifts. Failures are common after several years of exposure.</t>
        </is>
      </c>
      <c r="E9" s="5" t="inlineStr">
        <is>
          <t>Remove bubbles, dry surface, prime, and repaint.</t>
        </is>
      </c>
    </row>
    <row r="10">
      <c r="A10" s="5" t="inlineStr">
        <is>
          <t>DG</t>
        </is>
      </c>
      <c r="B10" s="5" t="inlineStr">
        <is>
          <t>Damaged Gasket</t>
        </is>
      </c>
      <c r="C10" s="5" t="inlineStr">
        <is>
          <t>Wear and Tear</t>
        </is>
      </c>
      <c r="D10" s="5" t="inlineStr">
        <is>
          <t>Gaskets degrade due to age, UV, and temperature shifts. Failures are common after several years of exposure</t>
        </is>
      </c>
      <c r="E10" s="5" t="inlineStr">
        <is>
          <t>Remove gasket and reseal.</t>
        </is>
      </c>
    </row>
    <row r="11">
      <c r="A11" s="5" t="inlineStr">
        <is>
          <t>DS</t>
        </is>
      </c>
      <c r="B11" s="5" t="inlineStr">
        <is>
          <t>Damaged Sealant</t>
        </is>
      </c>
      <c r="C11" s="5" t="inlineStr">
        <is>
          <t>Wear and Tear</t>
        </is>
      </c>
      <c r="D11" s="5" t="inlineStr">
        <is>
          <t>Lapsed warranty; Cracking or tearing due to joint movement, UV aging, or thermal cycles. Material failure over time is expected even with proper application.</t>
        </is>
      </c>
      <c r="E11" s="5" t="inlineStr">
        <is>
          <t>Remove existing sealant, clean joint, install backer rod and apply new sealant.</t>
        </is>
      </c>
    </row>
    <row r="12">
      <c r="A12" s="5" t="inlineStr">
        <is>
          <t>MS</t>
        </is>
      </c>
      <c r="B12" s="5" t="inlineStr">
        <is>
          <t>Missing Sealant</t>
        </is>
      </c>
      <c r="C12" s="5" t="inlineStr">
        <is>
          <t>Workmanship</t>
        </is>
      </c>
      <c r="D12" s="5" t="inlineStr">
        <is>
          <t>Indicates that sealant was never applied during installation. This reflects an omission in workmanship or quality control at the time of construction.</t>
        </is>
      </c>
      <c r="E12" s="5" t="inlineStr">
        <is>
          <t>Clean joint and install backer rod and applynew sealant.</t>
        </is>
      </c>
    </row>
    <row r="13">
      <c r="A13" s="5" t="inlineStr">
        <is>
          <t>BG</t>
        </is>
      </c>
      <c r="B13" s="5" t="inlineStr">
        <is>
          <t>Broken Glass (BG)</t>
        </is>
      </c>
      <c r="C13" s="5" t="inlineStr">
        <is>
          <t>Unclassified (Circumstantial)</t>
        </is>
      </c>
      <c r="D13" s="5" t="inlineStr">
        <is>
          <t>Typically the result of impact, high wind pressure, or spontaneous breakage due to thermal stress. Often sudden and isolated.</t>
        </is>
      </c>
      <c r="E13" s="5" t="inlineStr">
        <is>
          <t>Replace glass and reseal edges.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2026-09-24T04:14:43Z</dcterms:created>
  <dcterms:modified xsi:type="dcterms:W3CDTF">2026-09-24T04:17:32Z</dcterms:modified>
</cp:coreProperties>
</file>