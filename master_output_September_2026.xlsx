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iteboard Data" sheetId="1" state="visible" r:id="rId1"/>
    <sheet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3335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10</row>
      <rowOff>0</rowOff>
    </from>
    <ext cx="13335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5" customWidth="1" min="9" max="9"/>
    <col width="24" customWidth="1" min="10" max="10"/>
    <col width="30" customWidth="1" min="11" max="11"/>
    <col width="28" customWidth="1" min="12" max="12"/>
    <col width="22" customWidth="1" min="13" max="13"/>
  </cols>
  <sheetData>
    <row r="1">
      <c r="A1" s="1" t="inlineStr">
        <is>
          <t>Submitter</t>
        </is>
      </c>
      <c r="B1" s="1" t="inlineStr">
        <is>
          <t>Date</t>
        </is>
      </c>
      <c r="C1" s="1" t="inlineStr">
        <is>
          <t>Elevation</t>
        </is>
      </c>
      <c r="D1" s="1" t="inlineStr">
        <is>
          <t>Drop</t>
        </is>
      </c>
      <c r="E1" s="1" t="inlineStr">
        <is>
          <t>Floor</t>
        </is>
      </c>
      <c r="F1" s="1" t="inlineStr">
        <is>
          <t>Tower</t>
        </is>
      </c>
      <c r="G1" s="1" t="inlineStr">
        <is>
          <t>Defects</t>
        </is>
      </c>
      <c r="I1" s="1" t="inlineStr">
        <is>
          <t>Whiteboard Photo</t>
        </is>
      </c>
      <c r="J1" s="1" t="inlineStr">
        <is>
          <t>POSSIBLE CAUSE</t>
        </is>
      </c>
      <c r="K1" s="1" t="inlineStr">
        <is>
          <t>Possible Cause Justification</t>
        </is>
      </c>
      <c r="L1" s="1" t="inlineStr">
        <is>
          <t>Recommended Repair</t>
        </is>
      </c>
      <c r="M1" s="2" t="inlineStr">
        <is>
          <t>FINDINGS</t>
        </is>
      </c>
    </row>
    <row r="2">
      <c r="G2" s="1" t="inlineStr">
        <is>
          <t>Damage</t>
        </is>
      </c>
      <c r="H2" s="1" t="inlineStr">
        <is>
          <t>Dimension</t>
        </is>
      </c>
    </row>
    <row r="3" ht="20" customHeight="1">
      <c r="A3" s="3" t="inlineStr">
        <is>
          <t>RUFINO ZUÑIGA JR</t>
        </is>
      </c>
      <c r="B3" s="3" t="inlineStr">
        <is>
          <t>JULY 12, 2026</t>
        </is>
      </c>
      <c r="C3" s="3" t="inlineStr">
        <is>
          <t>FRONT</t>
        </is>
      </c>
      <c r="D3" s="3" t="inlineStr">
        <is>
          <t>1</t>
        </is>
      </c>
      <c r="E3" s="3" t="inlineStr">
        <is>
          <t>2</t>
        </is>
      </c>
      <c r="F3" s="3" t="inlineStr"/>
      <c r="G3" s="1" t="inlineStr">
        <is>
          <t>Sealant</t>
        </is>
      </c>
      <c r="I3" s="3" t="n"/>
      <c r="J3" s="3" t="n"/>
      <c r="K3" s="3" t="n"/>
      <c r="L3" s="3" t="n"/>
      <c r="M3" s="3" t="n"/>
    </row>
    <row r="4" ht="20" customHeight="1">
      <c r="G4" s="3" t="inlineStr">
        <is>
          <t>DS C-C</t>
        </is>
      </c>
      <c r="H4" s="3" t="inlineStr">
        <is>
          <t>350 CM</t>
        </is>
      </c>
      <c r="J4" s="3">
        <f>IFERROR(VLOOKUP(LEFT($G4, FIND(" ", $G4&amp;" ") - 1), 'Reference Data'!$A$2:$E$15, 3, FALSE), "")</f>
        <v/>
      </c>
      <c r="K4" s="3">
        <f>IFERROR(VLOOKUP(LEFT($G4, FIND(" ", $G4&amp;" ") - 1), 'Reference Data'!$A$2:$E$15, 4, FALSE), "")</f>
        <v/>
      </c>
      <c r="L4" s="3">
        <f>IFERROR(VLOOKUP(LEFT($G4, FIND(" ", $G4&amp;" ") - 1), 'Reference Data'!$A$2:$E$15, 5, FALSE), "")</f>
        <v/>
      </c>
      <c r="M4" s="3">
        <f>IFERROR(VLOOKUP(LEFT($G4, FIND(" ", $G4&amp;" ") - 1), 'Reference Data'!$A$2:$E$15, 2, FALSE), "")</f>
        <v/>
      </c>
    </row>
    <row r="5" ht="20" customHeight="1">
      <c r="G5" s="1" t="inlineStr">
        <is>
          <t>Concrete</t>
        </is>
      </c>
      <c r="J5" s="3" t="n"/>
      <c r="K5" s="3" t="n"/>
      <c r="L5" s="3" t="n"/>
      <c r="M5" s="3" t="n"/>
    </row>
    <row r="6" ht="20" customHeight="1">
      <c r="G6" s="3" t="inlineStr">
        <is>
          <t>C+</t>
        </is>
      </c>
      <c r="H6" s="3" t="inlineStr">
        <is>
          <t>350 CM²</t>
        </is>
      </c>
      <c r="J6" s="3">
        <f>IFERROR(VLOOKUP(LEFT($G6, FIND(" ", $G6&amp;" ") - 1), 'Reference Data'!$A$2:$E$15, 3, FALSE), "")</f>
        <v/>
      </c>
      <c r="K6" s="3">
        <f>IFERROR(VLOOKUP(LEFT($G6, FIND(" ", $G6&amp;" ") - 1), 'Reference Data'!$A$2:$E$15, 4, FALSE), "")</f>
        <v/>
      </c>
      <c r="L6" s="3">
        <f>IFERROR(VLOOKUP(LEFT($G6, FIND(" ", $G6&amp;" ") - 1), 'Reference Data'!$A$2:$E$15, 5, FALSE), "")</f>
        <v/>
      </c>
      <c r="M6" s="3">
        <f>IFERROR(VLOOKUP(LEFT($G6, FIND(" ", $G6&amp;" ") - 1), 'Reference Data'!$A$2:$E$15, 2, FALSE), "")</f>
        <v/>
      </c>
    </row>
    <row r="7" ht="20" customHeight="1">
      <c r="G7" s="1" t="inlineStr">
        <is>
          <t>Paint</t>
        </is>
      </c>
      <c r="J7" s="3" t="n"/>
      <c r="K7" s="3" t="n"/>
      <c r="L7" s="3" t="n"/>
      <c r="M7" s="3" t="n"/>
    </row>
    <row r="8" ht="20" customHeight="1">
      <c r="G8" s="3" t="inlineStr"/>
      <c r="H8" s="3" t="inlineStr"/>
      <c r="J8" s="3">
        <f>IFERROR(VLOOKUP(LEFT($G8, FIND(" ", $G8&amp;" ") - 1), 'Reference Data'!$A$2:$E$15, 3, FALSE), "")</f>
        <v/>
      </c>
      <c r="K8" s="3">
        <f>IFERROR(VLOOKUP(LEFT($G8, FIND(" ", $G8&amp;" ") - 1), 'Reference Data'!$A$2:$E$15, 4, FALSE), "")</f>
        <v/>
      </c>
      <c r="L8" s="3">
        <f>IFERROR(VLOOKUP(LEFT($G8, FIND(" ", $G8&amp;" ") - 1), 'Reference Data'!$A$2:$E$15, 5, FALSE), "")</f>
        <v/>
      </c>
      <c r="M8" s="3">
        <f>IFERROR(VLOOKUP(LEFT($G8, FIND(" ", $G8&amp;" ") - 1), 'Reference Data'!$A$2:$E$15, 2, FALSE), "")</f>
        <v/>
      </c>
    </row>
    <row r="9" ht="20" customHeight="1">
      <c r="G9" s="1" t="inlineStr">
        <is>
          <t>Gasket</t>
        </is>
      </c>
      <c r="J9" s="3" t="n"/>
      <c r="K9" s="3" t="n"/>
      <c r="L9" s="3" t="n"/>
      <c r="M9" s="3" t="n"/>
    </row>
    <row r="10" ht="20" customHeight="1">
      <c r="G10" s="3" t="inlineStr"/>
      <c r="H10" s="3" t="inlineStr"/>
      <c r="J10" s="3">
        <f>IFERROR(VLOOKUP(LEFT($G10, FIND(" ", $G10&amp;" ") - 1), 'Reference Data'!$A$2:$E$15, 3, FALSE), "")</f>
        <v/>
      </c>
      <c r="K10" s="3">
        <f>IFERROR(VLOOKUP(LEFT($G10, FIND(" ", $G10&amp;" ") - 1), 'Reference Data'!$A$2:$E$15, 4, FALSE), "")</f>
        <v/>
      </c>
      <c r="L10" s="3">
        <f>IFERROR(VLOOKUP(LEFT($G10, FIND(" ", $G10&amp;" ") - 1), 'Reference Data'!$A$2:$E$15, 5, FALSE), "")</f>
        <v/>
      </c>
      <c r="M10" s="3">
        <f>IFERROR(VLOOKUP(LEFT($G10, FIND(" ", $G10&amp;" ") - 1), 'Reference Data'!$A$2:$E$15, 2, FALSE), "")</f>
        <v/>
      </c>
    </row>
    <row r="11" ht="20" customHeight="1">
      <c r="A11" s="3" t="inlineStr">
        <is>
          <t>RUFINO ZUÑIGA JR</t>
        </is>
      </c>
      <c r="B11" s="3" t="inlineStr">
        <is>
          <t>JULY 15, 2026</t>
        </is>
      </c>
      <c r="C11" s="3" t="inlineStr">
        <is>
          <t>FRONT</t>
        </is>
      </c>
      <c r="D11" s="3" t="inlineStr">
        <is>
          <t>1</t>
        </is>
      </c>
      <c r="E11" s="3" t="inlineStr">
        <is>
          <t>3D</t>
        </is>
      </c>
      <c r="F11" s="3" t="inlineStr"/>
      <c r="G11" s="1" t="inlineStr">
        <is>
          <t>Sealant</t>
        </is>
      </c>
      <c r="H11" s="3" t="n"/>
      <c r="I11" s="3" t="n"/>
      <c r="J11" s="3" t="n"/>
      <c r="K11" s="3" t="n"/>
      <c r="L11" s="3" t="n"/>
      <c r="M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inlineStr">
        <is>
          <t>DS C-C</t>
        </is>
      </c>
      <c r="H12" s="3" t="inlineStr">
        <is>
          <t>690 CM</t>
        </is>
      </c>
      <c r="I12" s="3" t="n"/>
      <c r="J12" s="3">
        <f>IFERROR(VLOOKUP(LEFT($G12, FIND(" ", $G12&amp;" ") - 1), 'Reference Data'!$A$2:$E$15, 3, FALSE), "")</f>
        <v/>
      </c>
      <c r="K12" s="3">
        <f>IFERROR(VLOOKUP(LEFT($G12, FIND(" ", $G12&amp;" ") - 1), 'Reference Data'!$A$2:$E$15, 4, FALSE), "")</f>
        <v/>
      </c>
      <c r="L12" s="3">
        <f>IFERROR(VLOOKUP(LEFT($G12, FIND(" ", $G12&amp;" ") - 1), 'Reference Data'!$A$2:$E$15, 5, FALSE), "")</f>
        <v/>
      </c>
      <c r="M12" s="3">
        <f>IFERROR(VLOOKUP(LEFT($G12, FIND(" ", $G12&amp;" ") - 1), 'Reference Data'!$A$2:$E$15, 2, FALSE), "")</f>
        <v/>
      </c>
    </row>
    <row r="13" ht="20" customHeight="1">
      <c r="A13" s="3" t="n"/>
      <c r="B13" s="3" t="n"/>
      <c r="C13" s="3" t="n"/>
      <c r="D13" s="3" t="n"/>
      <c r="E13" s="3" t="n"/>
      <c r="F13" s="3" t="n"/>
      <c r="G13" s="1" t="inlineStr">
        <is>
          <t>Concrete</t>
        </is>
      </c>
      <c r="H13" s="3" t="n"/>
      <c r="I13" s="3" t="n"/>
      <c r="J13" s="3" t="n"/>
      <c r="K13" s="3" t="n"/>
      <c r="L13" s="3" t="n"/>
      <c r="M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inlineStr"/>
      <c r="H14" s="3" t="inlineStr"/>
      <c r="I14" s="3" t="n"/>
      <c r="J14" s="3">
        <f>IFERROR(VLOOKUP(LEFT($G14, FIND(" ", $G14&amp;" ") - 1), 'Reference Data'!$A$2:$E$15, 3, FALSE), "")</f>
        <v/>
      </c>
      <c r="K14" s="3">
        <f>IFERROR(VLOOKUP(LEFT($G14, FIND(" ", $G14&amp;" ") - 1), 'Reference Data'!$A$2:$E$15, 4, FALSE), "")</f>
        <v/>
      </c>
      <c r="L14" s="3">
        <f>IFERROR(VLOOKUP(LEFT($G14, FIND(" ", $G14&amp;" ") - 1), 'Reference Data'!$A$2:$E$15, 5, FALSE), "")</f>
        <v/>
      </c>
      <c r="M14" s="3">
        <f>IFERROR(VLOOKUP(LEFT($G14, FIND(" ", $G14&amp;" ") - 1), 'Reference Data'!$A$2:$E$15, 2, FALSE), "")</f>
        <v/>
      </c>
    </row>
    <row r="15" ht="20" customHeight="1">
      <c r="A15" s="3" t="n"/>
      <c r="B15" s="3" t="n"/>
      <c r="C15" s="3" t="n"/>
      <c r="D15" s="3" t="n"/>
      <c r="E15" s="3" t="n"/>
      <c r="F15" s="3" t="n"/>
      <c r="G15" s="1" t="inlineStr">
        <is>
          <t>Paint</t>
        </is>
      </c>
      <c r="H15" s="3" t="n"/>
      <c r="I15" s="3" t="n"/>
      <c r="J15" s="3" t="n"/>
      <c r="K15" s="3" t="n"/>
      <c r="L15" s="3" t="n"/>
      <c r="M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inlineStr"/>
      <c r="H16" s="3" t="inlineStr"/>
      <c r="I16" s="3" t="n"/>
      <c r="J16" s="3">
        <f>IFERROR(VLOOKUP(LEFT($G16, FIND(" ", $G16&amp;" ") - 1), 'Reference Data'!$A$2:$E$15, 3, FALSE), "")</f>
        <v/>
      </c>
      <c r="K16" s="3">
        <f>IFERROR(VLOOKUP(LEFT($G16, FIND(" ", $G16&amp;" ") - 1), 'Reference Data'!$A$2:$E$15, 4, FALSE), "")</f>
        <v/>
      </c>
      <c r="L16" s="3">
        <f>IFERROR(VLOOKUP(LEFT($G16, FIND(" ", $G16&amp;" ") - 1), 'Reference Data'!$A$2:$E$15, 5, FALSE), "")</f>
        <v/>
      </c>
      <c r="M16" s="3">
        <f>IFERROR(VLOOKUP(LEFT($G16, FIND(" ", $G16&amp;" ") - 1), 'Reference Data'!$A$2:$E$15, 2, FALSE), "")</f>
        <v/>
      </c>
    </row>
    <row r="17" ht="20" customHeight="1">
      <c r="A17" s="3" t="n"/>
      <c r="B17" s="3" t="n"/>
      <c r="C17" s="3" t="n"/>
      <c r="D17" s="3" t="n"/>
      <c r="E17" s="3" t="n"/>
      <c r="F17" s="3" t="n"/>
      <c r="G17" s="1" t="inlineStr">
        <is>
          <t>Gasket</t>
        </is>
      </c>
      <c r="H17" s="3" t="n"/>
      <c r="I17" s="3" t="n"/>
      <c r="J17" s="3" t="n"/>
      <c r="K17" s="3" t="n"/>
      <c r="L17" s="3" t="n"/>
      <c r="M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inlineStr"/>
      <c r="H18" s="3" t="inlineStr"/>
      <c r="I18" s="3" t="n"/>
      <c r="J18" s="3">
        <f>IFERROR(VLOOKUP(LEFT($G18, FIND(" ", $G18&amp;" ") - 1), 'Reference Data'!$A$2:$E$15, 3, FALSE), "")</f>
        <v/>
      </c>
      <c r="K18" s="3">
        <f>IFERROR(VLOOKUP(LEFT($G18, FIND(" ", $G18&amp;" ") - 1), 'Reference Data'!$A$2:$E$15, 4, FALSE), "")</f>
        <v/>
      </c>
      <c r="L18" s="3">
        <f>IFERROR(VLOOKUP(LEFT($G18, FIND(" ", $G18&amp;" ") - 1), 'Reference Data'!$A$2:$E$15, 5, FALSE), "")</f>
        <v/>
      </c>
      <c r="M18" s="3">
        <f>IFERROR(VLOOKUP(LEFT($G18, FIND(" ", $G18&amp;" ") - 1), 'Reference Data'!$A$2:$E$15, 2, FALSE), "")</f>
        <v/>
      </c>
    </row>
  </sheetData>
  <mergeCells count="34">
    <mergeCell ref="C3:C10"/>
    <mergeCell ref="G11:H11"/>
    <mergeCell ref="E3:E10"/>
    <mergeCell ref="C1:C2"/>
    <mergeCell ref="B3:B10"/>
    <mergeCell ref="E1:E2"/>
    <mergeCell ref="K1:K2"/>
    <mergeCell ref="F11:F18"/>
    <mergeCell ref="M1:M2"/>
    <mergeCell ref="G17:H17"/>
    <mergeCell ref="G7:H7"/>
    <mergeCell ref="I11:I18"/>
    <mergeCell ref="A11:A18"/>
    <mergeCell ref="B11:B18"/>
    <mergeCell ref="B1:B2"/>
    <mergeCell ref="D11:D18"/>
    <mergeCell ref="G13:H13"/>
    <mergeCell ref="I3:I10"/>
    <mergeCell ref="L1:L2"/>
    <mergeCell ref="G3:H3"/>
    <mergeCell ref="F3:F10"/>
    <mergeCell ref="G15:H15"/>
    <mergeCell ref="A3:A10"/>
    <mergeCell ref="G5:H5"/>
    <mergeCell ref="D3:D10"/>
    <mergeCell ref="I1:I2"/>
    <mergeCell ref="G1:H1"/>
    <mergeCell ref="C11:C18"/>
    <mergeCell ref="E11:E18"/>
    <mergeCell ref="D1:D2"/>
    <mergeCell ref="F1:F2"/>
    <mergeCell ref="G9:H9"/>
    <mergeCell ref="J1:J2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45" customWidth="1" min="4" max="4"/>
    <col width="40" customWidth="1" min="5" max="5"/>
  </cols>
  <sheetData>
    <row r="1" ht="28" customHeight="1">
      <c r="A1" s="4" t="inlineStr">
        <is>
          <t>Defect Code</t>
        </is>
      </c>
      <c r="B1" s="4" t="inlineStr">
        <is>
          <t>Defect Type</t>
        </is>
      </c>
      <c r="C1" s="4" t="inlineStr">
        <is>
          <t>Likely Cause(s)</t>
        </is>
      </c>
      <c r="D1" s="4" t="inlineStr">
        <is>
          <t>Justification</t>
        </is>
      </c>
      <c r="E1" s="4" t="inlineStr">
        <is>
          <t>Recommended Repair</t>
        </is>
      </c>
    </row>
    <row r="2">
      <c r="A2" s="5" t="inlineStr">
        <is>
          <t>CC-</t>
        </is>
      </c>
      <c r="B2" s="5" t="inlineStr">
        <is>
          <t>Minor Concrete Crack</t>
        </is>
      </c>
      <c r="C2" s="5" t="inlineStr">
        <is>
          <t>Act of God or Wear and Tear</t>
        </is>
      </c>
      <c r="D2" s="5" t="inlineStr">
        <is>
          <t>Typically form due to drying shrinkage or building movement. Can be exacerbated by environmental stress or thermal cycling. Occurences beyond human control</t>
        </is>
      </c>
      <c r="E2" s="5" t="inlineStr">
        <is>
          <t>Apply epoxy mortar.</t>
        </is>
      </c>
    </row>
    <row r="3">
      <c r="A3" s="5" t="inlineStr">
        <is>
          <t>C-</t>
        </is>
      </c>
      <c r="B3" s="5" t="inlineStr">
        <is>
          <t>Minor Concrete Crack</t>
        </is>
      </c>
      <c r="C3" s="5" t="inlineStr">
        <is>
          <t>Act of God or Wear and Tear</t>
        </is>
      </c>
      <c r="D3" s="5" t="inlineStr">
        <is>
          <t>Typically form due to drying shrinkage or building movement. Can be exacerbated by environmental stress or thermal cycling. Occurences beyond human control</t>
        </is>
      </c>
      <c r="E3" s="5" t="inlineStr">
        <is>
          <t>Apply epoxy mortar.</t>
        </is>
      </c>
    </row>
    <row r="4">
      <c r="A4" s="5" t="inlineStr">
        <is>
          <t>CC+</t>
        </is>
      </c>
      <c r="B4" s="5" t="inlineStr">
        <is>
          <t>Major Concrete Crack</t>
        </is>
      </c>
      <c r="C4" s="5" t="inlineStr">
        <is>
          <t>Act of God or Wear and Tear</t>
        </is>
      </c>
      <c r="D4" s="5" t="inlineStr">
        <is>
          <t>Often indicate structural stress or abnormal movement; may also reflect long-term degradation in structural load paths. Soil movements blow causing structure movements.</t>
        </is>
      </c>
      <c r="E4" s="5" t="inlineStr">
        <is>
          <t>Perform epoxy injection.</t>
        </is>
      </c>
    </row>
    <row r="5">
      <c r="A5" s="5" t="inlineStr">
        <is>
          <t>C+</t>
        </is>
      </c>
      <c r="B5" s="5" t="inlineStr">
        <is>
          <t>Major Concrete Crack</t>
        </is>
      </c>
      <c r="C5" s="5" t="inlineStr">
        <is>
          <t>Act of God or Wear and Tear</t>
        </is>
      </c>
      <c r="D5" s="5" t="inlineStr">
        <is>
          <t>Often indicate structural stress or abnormal movement; may also reflect long-term degradation in structural load paths. Soil movements blow causing structure movements.</t>
        </is>
      </c>
      <c r="E5" s="5" t="inlineStr">
        <is>
          <t>Perform epoxy injection.</t>
        </is>
      </c>
    </row>
    <row r="6">
      <c r="A6" s="5" t="inlineStr">
        <is>
          <t>BH</t>
        </is>
      </c>
      <c r="B6" s="5" t="inlineStr">
        <is>
          <t>Dented Surface or Bugholes</t>
        </is>
      </c>
      <c r="C6" s="5" t="inlineStr">
        <is>
          <t>Workmanship</t>
        </is>
      </c>
      <c r="D6" s="5" t="inlineStr">
        <is>
          <t>Result from improper concrete casting, lack of consolidation, or poor formwork. Appear early and are usually non-structural.</t>
        </is>
      </c>
      <c r="E6" s="5" t="inlineStr">
        <is>
          <t>Apply repair mortar with concrete epoxy (A&amp;B). (Repainting upon building admin decision)</t>
        </is>
      </c>
    </row>
    <row r="7">
      <c r="A7" s="5" t="inlineStr">
        <is>
          <t>US</t>
        </is>
      </c>
      <c r="B7" s="5" t="inlineStr">
        <is>
          <t>Dented Surface or Bugholes</t>
        </is>
      </c>
      <c r="C7" s="5" t="inlineStr">
        <is>
          <t>Workmanship</t>
        </is>
      </c>
      <c r="D7" s="5" t="inlineStr">
        <is>
          <t>Result from improper concrete casting, lack of consolidation, or poor formwork. Appear early and are usually non-structural.</t>
        </is>
      </c>
      <c r="E7" s="5" t="inlineStr">
        <is>
          <t>Apply repair mortar with concrete epoxy (A&amp;B). (Repainting upon building admin decision)</t>
        </is>
      </c>
    </row>
    <row r="8">
      <c r="A8" s="5" t="inlineStr">
        <is>
          <t>DP</t>
        </is>
      </c>
      <c r="B8" s="5" t="inlineStr">
        <is>
          <t>Discolored Paint</t>
        </is>
      </c>
      <c r="C8" s="5" t="inlineStr">
        <is>
          <t>Wear and Tear</t>
        </is>
      </c>
      <c r="D8" s="5" t="inlineStr">
        <is>
          <t>Fades or stains over time due to sun exposure, moisture, and pollution. A predictable result of long-term exposure.</t>
        </is>
      </c>
      <c r="E8" s="5" t="inlineStr">
        <is>
          <t>Retouch paint; ensure proper surface prep.</t>
        </is>
      </c>
    </row>
    <row r="9">
      <c r="A9" s="5" t="inlineStr">
        <is>
          <t>FP</t>
        </is>
      </c>
      <c r="B9" s="5" t="inlineStr">
        <is>
          <t>Flaky Paint</t>
        </is>
      </c>
      <c r="C9" s="5" t="inlineStr">
        <is>
          <t>Wear and Tear</t>
        </is>
      </c>
      <c r="D9" s="5" t="inlineStr">
        <is>
          <t>Lapsed warranty; degrades due to age, UV, and temperature shifts. Failures are common after several years of exposure.</t>
        </is>
      </c>
      <c r="E9" s="5" t="inlineStr">
        <is>
          <t>Remove loose paint, prime, and repaint.</t>
        </is>
      </c>
    </row>
    <row r="10">
      <c r="A10" s="5" t="inlineStr">
        <is>
          <t>BP</t>
        </is>
      </c>
      <c r="B10" s="5" t="inlineStr">
        <is>
          <t>Bubbly Paint</t>
        </is>
      </c>
      <c r="C10" s="5" t="inlineStr">
        <is>
          <t>Wear and Tear</t>
        </is>
      </c>
      <c r="D10" s="5" t="inlineStr">
        <is>
          <t>Lapsed warranty; degrades due to age, UV, and temperature shifts. Failures are common after several years of exposure.</t>
        </is>
      </c>
      <c r="E10" s="5" t="inlineStr">
        <is>
          <t>Remove bubbles, dry surface, prime, and repaint.</t>
        </is>
      </c>
    </row>
    <row r="11">
      <c r="A11" s="5" t="inlineStr">
        <is>
          <t>DG</t>
        </is>
      </c>
      <c r="B11" s="5" t="inlineStr">
        <is>
          <t>Damaged Gasket</t>
        </is>
      </c>
      <c r="C11" s="5" t="inlineStr">
        <is>
          <t>Wear and Tear</t>
        </is>
      </c>
      <c r="D11" s="5" t="inlineStr">
        <is>
          <t>Gaskets degrade due to age, UV, and temperature shifts. Failures are common after several years of exposure</t>
        </is>
      </c>
      <c r="E11" s="5" t="inlineStr">
        <is>
          <t>Remove gasket and reseal.</t>
        </is>
      </c>
    </row>
    <row r="12">
      <c r="A12" s="5" t="inlineStr">
        <is>
          <t>DS</t>
        </is>
      </c>
      <c r="B12" s="5" t="inlineStr">
        <is>
          <t>Damaged Sealant</t>
        </is>
      </c>
      <c r="C12" s="5" t="inlineStr">
        <is>
          <t>Wear and Tear</t>
        </is>
      </c>
      <c r="D12" s="5" t="inlineStr">
        <is>
          <t>Lapsed warranty; Cracking or tearing due to joint movement, UV aging, or thermal cycles. Material failure over time is expected even with proper application.</t>
        </is>
      </c>
      <c r="E12" s="5" t="inlineStr">
        <is>
          <t>Remove existing sealant, clean joint, install backer rod and apply new sealant.</t>
        </is>
      </c>
    </row>
    <row r="13">
      <c r="A13" s="5" t="inlineStr">
        <is>
          <t>MS</t>
        </is>
      </c>
      <c r="B13" s="5" t="inlineStr">
        <is>
          <t>Missing Sealant</t>
        </is>
      </c>
      <c r="C13" s="5" t="inlineStr">
        <is>
          <t>Workmanship</t>
        </is>
      </c>
      <c r="D13" s="5" t="inlineStr">
        <is>
          <t>Indicates that sealant was never applied during installation. This reflects an omission in workmanship or quality control at the time of construction.</t>
        </is>
      </c>
      <c r="E13" s="5" t="inlineStr">
        <is>
          <t>Clean joint and install backer rod and applynew sealant.</t>
        </is>
      </c>
    </row>
    <row r="14">
      <c r="A14" s="5" t="inlineStr">
        <is>
          <t>BG</t>
        </is>
      </c>
      <c r="B14" s="5" t="inlineStr">
        <is>
          <t>Broken Glass (BG)</t>
        </is>
      </c>
      <c r="C14" s="5" t="inlineStr">
        <is>
          <t>Unclassified (Circumstantial)</t>
        </is>
      </c>
      <c r="D14" s="5" t="inlineStr">
        <is>
          <t>Typically the result of impact, high wind pressure, or spontaneous breakage due to thermal stress. Often sudden and isolated.</t>
        </is>
      </c>
      <c r="E14" s="5" t="inlineStr">
        <is>
          <t>Replace glass and reseal edges.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2026-09-24T08:55:23Z</dcterms:created>
  <dcterms:modified xsi:type="dcterms:W3CDTF">2026-09-24T08:55:25Z</dcterms:modified>
</cp:coreProperties>
</file>